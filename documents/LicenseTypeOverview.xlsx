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hidePivotFieldList="1" defaultThemeVersion="166925"/>
  <mc:AlternateContent xmlns:mc="http://schemas.openxmlformats.org/markup-compatibility/2006">
    <mc:Choice Requires="x15">
      <x15ac:absPath xmlns:x15ac="http://schemas.microsoft.com/office/spreadsheetml/2010/11/ac" url="https://elektrobit.sharepoint.com/sites/msteams_c2eda0/Shared Documents/Product Management/Product Operations/PriceEdge/"/>
    </mc:Choice>
  </mc:AlternateContent>
  <xr:revisionPtr revIDLastSave="0" documentId="8_{DA416555-627B-4D9E-963E-4D0017030E50}" xr6:coauthVersionLast="47" xr6:coauthVersionMax="47" xr10:uidLastSave="{00000000-0000-0000-0000-000000000000}"/>
  <bookViews>
    <workbookView xWindow="-120" yWindow="-120" windowWidth="29040" windowHeight="17520" firstSheet="1" activeTab="1" xr2:uid="{00000000-000D-0000-FFFF-FFFF00000000}"/>
  </bookViews>
  <sheets>
    <sheet name="Change history" sheetId="3" r:id="rId1"/>
    <sheet name="Sheet1" sheetId="1" r:id="rId2"/>
    <sheet name="Sheet2" sheetId="2" r:id="rId3"/>
  </sheets>
  <externalReferences>
    <externalReference r:id="rId4"/>
  </externalReferences>
  <definedNames>
    <definedName name="_xlnm._FilterDatabase" localSheetId="1" hidden="1">Sheet1!$A$8:$BE$547</definedName>
  </definedNames>
  <calcPr calcId="191028"/>
  <pivotCaches>
    <pivotCache cacheId="122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 r="T563" i="1"/>
  <c r="T562" i="1"/>
  <c r="T561" i="1"/>
  <c r="T560" i="1"/>
  <c r="T559" i="1"/>
  <c r="T558" i="1"/>
  <c r="T557" i="1"/>
  <c r="T556" i="1"/>
  <c r="T555" i="1"/>
  <c r="T554" i="1"/>
  <c r="T553" i="1"/>
  <c r="T552" i="1"/>
  <c r="T551" i="1"/>
  <c r="T550" i="1"/>
  <c r="T549" i="1"/>
  <c r="T548" i="1"/>
  <c r="Q563" i="1"/>
  <c r="Q562" i="1"/>
  <c r="Q561" i="1"/>
  <c r="Q560" i="1"/>
  <c r="Q559" i="1"/>
  <c r="Q558" i="1"/>
  <c r="Q557" i="1"/>
  <c r="Q556" i="1"/>
  <c r="Q555" i="1"/>
  <c r="Q554" i="1"/>
  <c r="Q553" i="1"/>
  <c r="Q552" i="1"/>
  <c r="Q551" i="1"/>
  <c r="Q550" i="1"/>
  <c r="Q549" i="1"/>
  <c r="Q548" i="1"/>
  <c r="M563" i="1"/>
  <c r="K563" i="1"/>
  <c r="J563" i="1"/>
  <c r="I563" i="1"/>
  <c r="H563" i="1"/>
  <c r="G563" i="1"/>
  <c r="F563" i="1"/>
  <c r="E563" i="1"/>
  <c r="M562" i="1"/>
  <c r="K562" i="1"/>
  <c r="J562" i="1"/>
  <c r="I562" i="1"/>
  <c r="H562" i="1"/>
  <c r="G562" i="1"/>
  <c r="F562" i="1"/>
  <c r="E562" i="1"/>
  <c r="M561" i="1"/>
  <c r="K561" i="1"/>
  <c r="J561" i="1"/>
  <c r="I561" i="1"/>
  <c r="H561" i="1"/>
  <c r="G561" i="1"/>
  <c r="F561" i="1"/>
  <c r="E561" i="1"/>
  <c r="M560" i="1"/>
  <c r="K560" i="1"/>
  <c r="J560" i="1"/>
  <c r="I560" i="1"/>
  <c r="H560" i="1"/>
  <c r="G560" i="1"/>
  <c r="F560" i="1"/>
  <c r="E560" i="1"/>
  <c r="M559" i="1"/>
  <c r="K559" i="1"/>
  <c r="J559" i="1"/>
  <c r="I559" i="1"/>
  <c r="H559" i="1"/>
  <c r="G559" i="1"/>
  <c r="F559" i="1"/>
  <c r="E559" i="1"/>
  <c r="M558" i="1"/>
  <c r="K558" i="1"/>
  <c r="J558" i="1"/>
  <c r="I558" i="1"/>
  <c r="H558" i="1"/>
  <c r="G558" i="1"/>
  <c r="F558" i="1"/>
  <c r="E558" i="1"/>
  <c r="M557" i="1"/>
  <c r="K557" i="1"/>
  <c r="J557" i="1"/>
  <c r="I557" i="1"/>
  <c r="H557" i="1"/>
  <c r="G557" i="1"/>
  <c r="F557" i="1"/>
  <c r="E557" i="1"/>
  <c r="M556" i="1"/>
  <c r="K556" i="1"/>
  <c r="J556" i="1"/>
  <c r="I556" i="1"/>
  <c r="H556" i="1"/>
  <c r="G556" i="1"/>
  <c r="F556" i="1"/>
  <c r="E556" i="1"/>
  <c r="M555" i="1"/>
  <c r="K555" i="1"/>
  <c r="J555" i="1"/>
  <c r="I555" i="1"/>
  <c r="H555" i="1"/>
  <c r="G555" i="1"/>
  <c r="F555" i="1"/>
  <c r="E555" i="1"/>
  <c r="M554" i="1"/>
  <c r="K554" i="1"/>
  <c r="J554" i="1"/>
  <c r="I554" i="1"/>
  <c r="H554" i="1"/>
  <c r="G554" i="1"/>
  <c r="F554" i="1"/>
  <c r="E554" i="1"/>
  <c r="M553" i="1"/>
  <c r="K553" i="1"/>
  <c r="J553" i="1"/>
  <c r="I553" i="1"/>
  <c r="H553" i="1"/>
  <c r="G553" i="1"/>
  <c r="F553" i="1"/>
  <c r="E553" i="1"/>
  <c r="M552" i="1"/>
  <c r="K552" i="1"/>
  <c r="J552" i="1"/>
  <c r="I552" i="1"/>
  <c r="H552" i="1"/>
  <c r="G552" i="1"/>
  <c r="F552" i="1"/>
  <c r="E552" i="1"/>
  <c r="M551" i="1"/>
  <c r="K551" i="1"/>
  <c r="J551" i="1"/>
  <c r="I551" i="1"/>
  <c r="H551" i="1"/>
  <c r="G551" i="1"/>
  <c r="F551" i="1"/>
  <c r="E551" i="1"/>
  <c r="M550" i="1"/>
  <c r="K550" i="1"/>
  <c r="J550" i="1"/>
  <c r="I550" i="1"/>
  <c r="H550" i="1"/>
  <c r="G550" i="1"/>
  <c r="F550" i="1"/>
  <c r="E550" i="1"/>
  <c r="M549" i="1"/>
  <c r="K549" i="1"/>
  <c r="J549" i="1"/>
  <c r="I549" i="1"/>
  <c r="H549" i="1"/>
  <c r="G549" i="1"/>
  <c r="F549" i="1"/>
  <c r="E549" i="1"/>
  <c r="M548" i="1"/>
  <c r="K548" i="1"/>
  <c r="J548" i="1"/>
  <c r="I548" i="1"/>
  <c r="H548" i="1"/>
  <c r="G548" i="1"/>
  <c r="F548" i="1"/>
  <c r="E548" i="1"/>
  <c r="K547" i="1"/>
  <c r="M9" i="1"/>
  <c r="T18" i="1"/>
  <c r="T108" i="1"/>
  <c r="T109" i="1"/>
  <c r="T110" i="1"/>
  <c r="T111" i="1"/>
  <c r="T112" i="1"/>
  <c r="T113" i="1"/>
  <c r="T114" i="1"/>
  <c r="T115" i="1"/>
  <c r="T116" i="1"/>
  <c r="T117" i="1"/>
  <c r="T19" i="1"/>
  <c r="T118" i="1"/>
  <c r="T119" i="1"/>
  <c r="T120" i="1"/>
  <c r="T121" i="1"/>
  <c r="T122" i="1"/>
  <c r="T123" i="1"/>
  <c r="T124" i="1"/>
  <c r="T125" i="1"/>
  <c r="T126" i="1"/>
  <c r="T127" i="1"/>
  <c r="T20" i="1"/>
  <c r="T128" i="1"/>
  <c r="T129" i="1"/>
  <c r="T130" i="1"/>
  <c r="T131" i="1"/>
  <c r="T132" i="1"/>
  <c r="T133" i="1"/>
  <c r="T134" i="1"/>
  <c r="T135" i="1"/>
  <c r="T136" i="1"/>
  <c r="T137" i="1"/>
  <c r="T21" i="1"/>
  <c r="T138" i="1"/>
  <c r="T139" i="1"/>
  <c r="T140" i="1"/>
  <c r="T141" i="1"/>
  <c r="T142" i="1"/>
  <c r="T143" i="1"/>
  <c r="T144" i="1"/>
  <c r="T145" i="1"/>
  <c r="T146" i="1"/>
  <c r="T147" i="1"/>
  <c r="T22" i="1"/>
  <c r="T148" i="1"/>
  <c r="T149" i="1"/>
  <c r="T150" i="1"/>
  <c r="T151" i="1"/>
  <c r="T152" i="1"/>
  <c r="T153" i="1"/>
  <c r="T154" i="1"/>
  <c r="T155" i="1"/>
  <c r="T156" i="1"/>
  <c r="T157" i="1"/>
  <c r="T23" i="1"/>
  <c r="T158" i="1"/>
  <c r="T159" i="1"/>
  <c r="T160" i="1"/>
  <c r="T161" i="1"/>
  <c r="T162" i="1"/>
  <c r="T163" i="1"/>
  <c r="T164" i="1"/>
  <c r="T165" i="1"/>
  <c r="T166" i="1"/>
  <c r="T167" i="1"/>
  <c r="T24" i="1"/>
  <c r="T168" i="1"/>
  <c r="T169" i="1"/>
  <c r="T170" i="1"/>
  <c r="T171" i="1"/>
  <c r="T172" i="1"/>
  <c r="T173" i="1"/>
  <c r="T174" i="1"/>
  <c r="T175" i="1"/>
  <c r="T176" i="1"/>
  <c r="T177" i="1"/>
  <c r="T25" i="1"/>
  <c r="T178" i="1"/>
  <c r="T179" i="1"/>
  <c r="T180" i="1"/>
  <c r="T181" i="1"/>
  <c r="T182" i="1"/>
  <c r="T183" i="1"/>
  <c r="T184" i="1"/>
  <c r="T185" i="1"/>
  <c r="T186" i="1"/>
  <c r="T187" i="1"/>
  <c r="T26" i="1"/>
  <c r="T188" i="1"/>
  <c r="T189" i="1"/>
  <c r="T190" i="1"/>
  <c r="T191" i="1"/>
  <c r="T192" i="1"/>
  <c r="T193" i="1"/>
  <c r="T194" i="1"/>
  <c r="T195" i="1"/>
  <c r="T196" i="1"/>
  <c r="T197" i="1"/>
  <c r="T27" i="1"/>
  <c r="T198" i="1"/>
  <c r="T199" i="1"/>
  <c r="T200" i="1"/>
  <c r="T201" i="1"/>
  <c r="T202" i="1"/>
  <c r="T203" i="1"/>
  <c r="T204" i="1"/>
  <c r="T205" i="1"/>
  <c r="T206" i="1"/>
  <c r="T207" i="1"/>
  <c r="T10" i="1"/>
  <c r="T28" i="1"/>
  <c r="T208" i="1"/>
  <c r="T209" i="1"/>
  <c r="T210" i="1"/>
  <c r="T211" i="1"/>
  <c r="T212" i="1"/>
  <c r="T213" i="1"/>
  <c r="T214" i="1"/>
  <c r="T215" i="1"/>
  <c r="T216" i="1"/>
  <c r="T217" i="1"/>
  <c r="T29" i="1"/>
  <c r="T218" i="1"/>
  <c r="T219" i="1"/>
  <c r="T220" i="1"/>
  <c r="T221" i="1"/>
  <c r="T222" i="1"/>
  <c r="T223" i="1"/>
  <c r="T224" i="1"/>
  <c r="T225" i="1"/>
  <c r="T226" i="1"/>
  <c r="T227" i="1"/>
  <c r="T30" i="1"/>
  <c r="T228" i="1"/>
  <c r="T229" i="1"/>
  <c r="T230" i="1"/>
  <c r="T231" i="1"/>
  <c r="T232" i="1"/>
  <c r="T233" i="1"/>
  <c r="T234" i="1"/>
  <c r="T235" i="1"/>
  <c r="T236" i="1"/>
  <c r="T237" i="1"/>
  <c r="T31" i="1"/>
  <c r="T238" i="1"/>
  <c r="T239" i="1"/>
  <c r="T240" i="1"/>
  <c r="T241" i="1"/>
  <c r="T242" i="1"/>
  <c r="T243" i="1"/>
  <c r="T244" i="1"/>
  <c r="T245" i="1"/>
  <c r="T246" i="1"/>
  <c r="T247" i="1"/>
  <c r="T32" i="1"/>
  <c r="T248" i="1"/>
  <c r="T249" i="1"/>
  <c r="T250" i="1"/>
  <c r="T251" i="1"/>
  <c r="T252" i="1"/>
  <c r="T253" i="1"/>
  <c r="T254" i="1"/>
  <c r="T255" i="1"/>
  <c r="T256" i="1"/>
  <c r="T257" i="1"/>
  <c r="T33" i="1"/>
  <c r="T258" i="1"/>
  <c r="T259" i="1"/>
  <c r="T260" i="1"/>
  <c r="T261" i="1"/>
  <c r="T262" i="1"/>
  <c r="T263" i="1"/>
  <c r="T264" i="1"/>
  <c r="T265" i="1"/>
  <c r="T266" i="1"/>
  <c r="T267" i="1"/>
  <c r="T34" i="1"/>
  <c r="T268" i="1"/>
  <c r="T269" i="1"/>
  <c r="T270" i="1"/>
  <c r="T271" i="1"/>
  <c r="T272" i="1"/>
  <c r="T273" i="1"/>
  <c r="T274" i="1"/>
  <c r="T275" i="1"/>
  <c r="T276" i="1"/>
  <c r="T277" i="1"/>
  <c r="T35" i="1"/>
  <c r="T278" i="1"/>
  <c r="T279" i="1"/>
  <c r="T280" i="1"/>
  <c r="T281" i="1"/>
  <c r="T282" i="1"/>
  <c r="T283" i="1"/>
  <c r="T284" i="1"/>
  <c r="T285" i="1"/>
  <c r="T286" i="1"/>
  <c r="T287" i="1"/>
  <c r="T36" i="1"/>
  <c r="T288" i="1"/>
  <c r="T289" i="1"/>
  <c r="T290" i="1"/>
  <c r="T291" i="1"/>
  <c r="T292" i="1"/>
  <c r="T293" i="1"/>
  <c r="T294" i="1"/>
  <c r="T295" i="1"/>
  <c r="T296" i="1"/>
  <c r="T297" i="1"/>
  <c r="T37" i="1"/>
  <c r="T298" i="1"/>
  <c r="T299" i="1"/>
  <c r="T300" i="1"/>
  <c r="T301" i="1"/>
  <c r="T302" i="1"/>
  <c r="T303" i="1"/>
  <c r="T304" i="1"/>
  <c r="T305" i="1"/>
  <c r="T306" i="1"/>
  <c r="T307" i="1"/>
  <c r="T11" i="1"/>
  <c r="T38" i="1"/>
  <c r="T308" i="1"/>
  <c r="T309" i="1"/>
  <c r="T310" i="1"/>
  <c r="T311" i="1"/>
  <c r="T312" i="1"/>
  <c r="T313" i="1"/>
  <c r="T314" i="1"/>
  <c r="T315" i="1"/>
  <c r="T316" i="1"/>
  <c r="T317" i="1"/>
  <c r="T39" i="1"/>
  <c r="T318" i="1"/>
  <c r="T319" i="1"/>
  <c r="T320" i="1"/>
  <c r="T321" i="1"/>
  <c r="T322" i="1"/>
  <c r="T323" i="1"/>
  <c r="T324" i="1"/>
  <c r="T325" i="1"/>
  <c r="T326" i="1"/>
  <c r="T327" i="1"/>
  <c r="T40" i="1"/>
  <c r="T328" i="1"/>
  <c r="T329" i="1"/>
  <c r="T330" i="1"/>
  <c r="T331" i="1"/>
  <c r="T332" i="1"/>
  <c r="T333" i="1"/>
  <c r="T334" i="1"/>
  <c r="T335" i="1"/>
  <c r="T336" i="1"/>
  <c r="T337" i="1"/>
  <c r="T41" i="1"/>
  <c r="T338" i="1"/>
  <c r="T339" i="1"/>
  <c r="T340" i="1"/>
  <c r="T341" i="1"/>
  <c r="T342" i="1"/>
  <c r="T343" i="1"/>
  <c r="T344" i="1"/>
  <c r="T345" i="1"/>
  <c r="T346" i="1"/>
  <c r="T347" i="1"/>
  <c r="T42" i="1"/>
  <c r="T348" i="1"/>
  <c r="T349" i="1"/>
  <c r="T350" i="1"/>
  <c r="T351" i="1"/>
  <c r="T352" i="1"/>
  <c r="T353" i="1"/>
  <c r="T354" i="1"/>
  <c r="T355" i="1"/>
  <c r="T356" i="1"/>
  <c r="T357" i="1"/>
  <c r="T43" i="1"/>
  <c r="T358" i="1"/>
  <c r="T359" i="1"/>
  <c r="T360" i="1"/>
  <c r="T361" i="1"/>
  <c r="T362" i="1"/>
  <c r="T363" i="1"/>
  <c r="T364" i="1"/>
  <c r="T365" i="1"/>
  <c r="T366" i="1"/>
  <c r="T367" i="1"/>
  <c r="T44" i="1"/>
  <c r="T368" i="1"/>
  <c r="T369" i="1"/>
  <c r="T370" i="1"/>
  <c r="T371" i="1"/>
  <c r="T372" i="1"/>
  <c r="T373" i="1"/>
  <c r="T374" i="1"/>
  <c r="T375" i="1"/>
  <c r="T376" i="1"/>
  <c r="T377" i="1"/>
  <c r="T45" i="1"/>
  <c r="T378" i="1"/>
  <c r="T379" i="1"/>
  <c r="T380" i="1"/>
  <c r="T381" i="1"/>
  <c r="T382" i="1"/>
  <c r="T383" i="1"/>
  <c r="T384" i="1"/>
  <c r="T385" i="1"/>
  <c r="T386" i="1"/>
  <c r="T387" i="1"/>
  <c r="T46" i="1"/>
  <c r="T388" i="1"/>
  <c r="T389" i="1"/>
  <c r="T390" i="1"/>
  <c r="T391" i="1"/>
  <c r="T392" i="1"/>
  <c r="T393" i="1"/>
  <c r="T394" i="1"/>
  <c r="T395" i="1"/>
  <c r="T396" i="1"/>
  <c r="T397" i="1"/>
  <c r="T47" i="1"/>
  <c r="T398" i="1"/>
  <c r="T399" i="1"/>
  <c r="T400" i="1"/>
  <c r="T401" i="1"/>
  <c r="T402" i="1"/>
  <c r="T403" i="1"/>
  <c r="T404" i="1"/>
  <c r="T405" i="1"/>
  <c r="T406" i="1"/>
  <c r="T407" i="1"/>
  <c r="T12" i="1"/>
  <c r="T48" i="1"/>
  <c r="T408" i="1"/>
  <c r="T409" i="1"/>
  <c r="T410" i="1"/>
  <c r="T411" i="1"/>
  <c r="T412" i="1"/>
  <c r="T413" i="1"/>
  <c r="T414" i="1"/>
  <c r="T415" i="1"/>
  <c r="T416" i="1"/>
  <c r="T417" i="1"/>
  <c r="T49" i="1"/>
  <c r="T418" i="1"/>
  <c r="T419" i="1"/>
  <c r="T420" i="1"/>
  <c r="T421" i="1"/>
  <c r="T422" i="1"/>
  <c r="T423" i="1"/>
  <c r="T424" i="1"/>
  <c r="T425" i="1"/>
  <c r="T426" i="1"/>
  <c r="T427" i="1"/>
  <c r="T50" i="1"/>
  <c r="T428" i="1"/>
  <c r="T429" i="1"/>
  <c r="T430" i="1"/>
  <c r="T431" i="1"/>
  <c r="T432" i="1"/>
  <c r="T433" i="1"/>
  <c r="T434" i="1"/>
  <c r="T435" i="1"/>
  <c r="T436" i="1"/>
  <c r="T437" i="1"/>
  <c r="T51" i="1"/>
  <c r="T438" i="1"/>
  <c r="T439" i="1"/>
  <c r="T440" i="1"/>
  <c r="T441" i="1"/>
  <c r="T442" i="1"/>
  <c r="T443" i="1"/>
  <c r="T444" i="1"/>
  <c r="T445" i="1"/>
  <c r="T446" i="1"/>
  <c r="T447" i="1"/>
  <c r="T52" i="1"/>
  <c r="T448" i="1"/>
  <c r="T449" i="1"/>
  <c r="T450" i="1"/>
  <c r="T451" i="1"/>
  <c r="T452" i="1"/>
  <c r="T453" i="1"/>
  <c r="T454" i="1"/>
  <c r="T455" i="1"/>
  <c r="T456" i="1"/>
  <c r="T457" i="1"/>
  <c r="T53" i="1"/>
  <c r="T458" i="1"/>
  <c r="T459" i="1"/>
  <c r="T460" i="1"/>
  <c r="T461" i="1"/>
  <c r="T462" i="1"/>
  <c r="T463" i="1"/>
  <c r="T464" i="1"/>
  <c r="T465" i="1"/>
  <c r="T466" i="1"/>
  <c r="T467" i="1"/>
  <c r="T54" i="1"/>
  <c r="T468" i="1"/>
  <c r="T469" i="1"/>
  <c r="T470" i="1"/>
  <c r="T471" i="1"/>
  <c r="T472" i="1"/>
  <c r="T473" i="1"/>
  <c r="T474" i="1"/>
  <c r="T475" i="1"/>
  <c r="T476" i="1"/>
  <c r="T477" i="1"/>
  <c r="T55" i="1"/>
  <c r="T478" i="1"/>
  <c r="T479" i="1"/>
  <c r="T480" i="1"/>
  <c r="T481" i="1"/>
  <c r="T482" i="1"/>
  <c r="T483" i="1"/>
  <c r="T484" i="1"/>
  <c r="T485" i="1"/>
  <c r="T486" i="1"/>
  <c r="T487" i="1"/>
  <c r="T56" i="1"/>
  <c r="T488" i="1"/>
  <c r="T489" i="1"/>
  <c r="T490" i="1"/>
  <c r="T491" i="1"/>
  <c r="T492" i="1"/>
  <c r="T493" i="1"/>
  <c r="T494" i="1"/>
  <c r="T495" i="1"/>
  <c r="T496" i="1"/>
  <c r="T497" i="1"/>
  <c r="T57" i="1"/>
  <c r="T498" i="1"/>
  <c r="T499" i="1"/>
  <c r="T500" i="1"/>
  <c r="T501" i="1"/>
  <c r="T502" i="1"/>
  <c r="T503" i="1"/>
  <c r="T504" i="1"/>
  <c r="T505" i="1"/>
  <c r="T506" i="1"/>
  <c r="T507" i="1"/>
  <c r="T13" i="1"/>
  <c r="T58" i="1"/>
  <c r="T508" i="1"/>
  <c r="T509" i="1"/>
  <c r="T510" i="1"/>
  <c r="T511" i="1"/>
  <c r="T512" i="1"/>
  <c r="T513" i="1"/>
  <c r="T514" i="1"/>
  <c r="T515" i="1"/>
  <c r="T516" i="1"/>
  <c r="T517" i="1"/>
  <c r="T59" i="1"/>
  <c r="T518" i="1"/>
  <c r="T519" i="1"/>
  <c r="T520" i="1"/>
  <c r="T521" i="1"/>
  <c r="T522" i="1"/>
  <c r="T523" i="1"/>
  <c r="T524" i="1"/>
  <c r="T525" i="1"/>
  <c r="T526" i="1"/>
  <c r="T527" i="1"/>
  <c r="T60" i="1"/>
  <c r="T528" i="1"/>
  <c r="T529" i="1"/>
  <c r="T530" i="1"/>
  <c r="T531" i="1"/>
  <c r="T532" i="1"/>
  <c r="T533" i="1"/>
  <c r="T534" i="1"/>
  <c r="T535" i="1"/>
  <c r="T536" i="1"/>
  <c r="T537" i="1"/>
  <c r="T61" i="1"/>
  <c r="T538" i="1"/>
  <c r="T539" i="1"/>
  <c r="T540" i="1"/>
  <c r="T541" i="1"/>
  <c r="T542" i="1"/>
  <c r="T543" i="1"/>
  <c r="T544" i="1"/>
  <c r="T545" i="1"/>
  <c r="T546" i="1"/>
  <c r="T547" i="1"/>
  <c r="T62" i="1"/>
  <c r="T63" i="1"/>
  <c r="T64" i="1"/>
  <c r="T65" i="1"/>
  <c r="T66" i="1"/>
  <c r="T67" i="1"/>
  <c r="T14" i="1"/>
  <c r="T68" i="1"/>
  <c r="T69" i="1"/>
  <c r="T70" i="1"/>
  <c r="T71" i="1"/>
  <c r="T72" i="1"/>
  <c r="T73" i="1"/>
  <c r="T74" i="1"/>
  <c r="T75" i="1"/>
  <c r="T76" i="1"/>
  <c r="T77" i="1"/>
  <c r="T15" i="1"/>
  <c r="T78" i="1"/>
  <c r="T79" i="1"/>
  <c r="T80" i="1"/>
  <c r="T81" i="1"/>
  <c r="T82" i="1"/>
  <c r="T83" i="1"/>
  <c r="T84" i="1"/>
  <c r="T85" i="1"/>
  <c r="T86" i="1"/>
  <c r="T87" i="1"/>
  <c r="T16" i="1"/>
  <c r="T88" i="1"/>
  <c r="T89" i="1"/>
  <c r="T90" i="1"/>
  <c r="T91" i="1"/>
  <c r="T92" i="1"/>
  <c r="T93" i="1"/>
  <c r="T94" i="1"/>
  <c r="T95" i="1"/>
  <c r="T96" i="1"/>
  <c r="T97" i="1"/>
  <c r="T17" i="1"/>
  <c r="T98" i="1"/>
  <c r="T99" i="1"/>
  <c r="T100" i="1"/>
  <c r="T101" i="1"/>
  <c r="T102" i="1"/>
  <c r="T103" i="1"/>
  <c r="T104" i="1"/>
  <c r="T105" i="1"/>
  <c r="T106" i="1"/>
  <c r="T107" i="1"/>
  <c r="T9" i="1"/>
  <c r="Q18" i="1"/>
  <c r="Q108" i="1"/>
  <c r="Q109" i="1"/>
  <c r="Q110" i="1"/>
  <c r="Q111" i="1"/>
  <c r="Q112" i="1"/>
  <c r="Q113" i="1"/>
  <c r="Q114" i="1"/>
  <c r="Q115" i="1"/>
  <c r="Q116" i="1"/>
  <c r="Q117" i="1"/>
  <c r="Q19" i="1"/>
  <c r="Q118" i="1"/>
  <c r="Q119" i="1"/>
  <c r="Q120" i="1"/>
  <c r="Q121" i="1"/>
  <c r="Q122" i="1"/>
  <c r="Q123" i="1"/>
  <c r="Q124" i="1"/>
  <c r="Q125" i="1"/>
  <c r="Q126" i="1"/>
  <c r="Q127" i="1"/>
  <c r="Q20" i="1"/>
  <c r="Q128" i="1"/>
  <c r="Q129" i="1"/>
  <c r="Q130" i="1"/>
  <c r="Q131" i="1"/>
  <c r="Q132" i="1"/>
  <c r="Q133" i="1"/>
  <c r="Q134" i="1"/>
  <c r="Q135" i="1"/>
  <c r="Q136" i="1"/>
  <c r="Q137" i="1"/>
  <c r="Q21" i="1"/>
  <c r="Q138" i="1"/>
  <c r="Q139" i="1"/>
  <c r="Q140" i="1"/>
  <c r="Q141" i="1"/>
  <c r="Q142" i="1"/>
  <c r="Q143" i="1"/>
  <c r="Q144" i="1"/>
  <c r="Q145" i="1"/>
  <c r="Q146" i="1"/>
  <c r="Q147" i="1"/>
  <c r="Q22" i="1"/>
  <c r="Q148" i="1"/>
  <c r="Q149" i="1"/>
  <c r="Q150" i="1"/>
  <c r="Q151" i="1"/>
  <c r="Q152" i="1"/>
  <c r="Q153" i="1"/>
  <c r="Q154" i="1"/>
  <c r="Q155" i="1"/>
  <c r="Q156" i="1"/>
  <c r="Q157" i="1"/>
  <c r="Q23" i="1"/>
  <c r="Q158" i="1"/>
  <c r="Q159" i="1"/>
  <c r="Q160" i="1"/>
  <c r="Q161" i="1"/>
  <c r="Q162" i="1"/>
  <c r="Q163" i="1"/>
  <c r="Q164" i="1"/>
  <c r="Q165" i="1"/>
  <c r="Q166" i="1"/>
  <c r="Q167" i="1"/>
  <c r="Q24" i="1"/>
  <c r="Q168" i="1"/>
  <c r="Q169" i="1"/>
  <c r="Q170" i="1"/>
  <c r="Q171" i="1"/>
  <c r="Q172" i="1"/>
  <c r="Q173" i="1"/>
  <c r="Q174" i="1"/>
  <c r="Q175" i="1"/>
  <c r="Q176" i="1"/>
  <c r="Q177" i="1"/>
  <c r="Q25" i="1"/>
  <c r="Q178" i="1"/>
  <c r="Q179" i="1"/>
  <c r="Q180" i="1"/>
  <c r="Q181" i="1"/>
  <c r="Q182" i="1"/>
  <c r="Q183" i="1"/>
  <c r="Q184" i="1"/>
  <c r="Q185" i="1"/>
  <c r="Q186" i="1"/>
  <c r="Q187" i="1"/>
  <c r="Q26" i="1"/>
  <c r="Q188" i="1"/>
  <c r="Q189" i="1"/>
  <c r="Q190" i="1"/>
  <c r="Q191" i="1"/>
  <c r="Q192" i="1"/>
  <c r="Q193" i="1"/>
  <c r="Q194" i="1"/>
  <c r="Q195" i="1"/>
  <c r="Q196" i="1"/>
  <c r="Q197" i="1"/>
  <c r="Q27" i="1"/>
  <c r="Q198" i="1"/>
  <c r="Q199" i="1"/>
  <c r="Q200" i="1"/>
  <c r="Q201" i="1"/>
  <c r="Q202" i="1"/>
  <c r="Q203" i="1"/>
  <c r="Q204" i="1"/>
  <c r="Q205" i="1"/>
  <c r="Q206" i="1"/>
  <c r="Q207" i="1"/>
  <c r="Q10" i="1"/>
  <c r="Q28" i="1"/>
  <c r="Q208" i="1"/>
  <c r="Q209" i="1"/>
  <c r="Q210" i="1"/>
  <c r="Q211" i="1"/>
  <c r="Q212" i="1"/>
  <c r="Q213" i="1"/>
  <c r="Q214" i="1"/>
  <c r="Q215" i="1"/>
  <c r="Q216" i="1"/>
  <c r="Q217" i="1"/>
  <c r="Q29" i="1"/>
  <c r="Q218" i="1"/>
  <c r="Q219" i="1"/>
  <c r="Q220" i="1"/>
  <c r="Q221" i="1"/>
  <c r="Q222" i="1"/>
  <c r="Q223" i="1"/>
  <c r="Q224" i="1"/>
  <c r="Q225" i="1"/>
  <c r="Q226" i="1"/>
  <c r="Q227" i="1"/>
  <c r="Q30" i="1"/>
  <c r="Q228" i="1"/>
  <c r="Q229" i="1"/>
  <c r="Q230" i="1"/>
  <c r="Q231" i="1"/>
  <c r="Q232" i="1"/>
  <c r="Q233" i="1"/>
  <c r="Q234" i="1"/>
  <c r="Q235" i="1"/>
  <c r="Q236" i="1"/>
  <c r="Q237" i="1"/>
  <c r="Q31" i="1"/>
  <c r="Q238" i="1"/>
  <c r="Q239" i="1"/>
  <c r="Q240" i="1"/>
  <c r="Q241" i="1"/>
  <c r="Q242" i="1"/>
  <c r="Q243" i="1"/>
  <c r="Q244" i="1"/>
  <c r="Q245" i="1"/>
  <c r="Q246" i="1"/>
  <c r="Q247" i="1"/>
  <c r="Q32" i="1"/>
  <c r="Q248" i="1"/>
  <c r="Q249" i="1"/>
  <c r="Q250" i="1"/>
  <c r="Q251" i="1"/>
  <c r="Q252" i="1"/>
  <c r="Q253" i="1"/>
  <c r="Q254" i="1"/>
  <c r="Q255" i="1"/>
  <c r="Q256" i="1"/>
  <c r="Q257" i="1"/>
  <c r="Q33" i="1"/>
  <c r="Q258" i="1"/>
  <c r="Q259" i="1"/>
  <c r="Q260" i="1"/>
  <c r="Q261" i="1"/>
  <c r="Q262" i="1"/>
  <c r="Q263" i="1"/>
  <c r="Q264" i="1"/>
  <c r="Q265" i="1"/>
  <c r="Q266" i="1"/>
  <c r="Q267" i="1"/>
  <c r="Q34" i="1"/>
  <c r="Q268" i="1"/>
  <c r="Q269" i="1"/>
  <c r="Q270" i="1"/>
  <c r="Q271" i="1"/>
  <c r="Q272" i="1"/>
  <c r="Q273" i="1"/>
  <c r="Q274" i="1"/>
  <c r="Q275" i="1"/>
  <c r="Q276" i="1"/>
  <c r="Q277" i="1"/>
  <c r="Q35" i="1"/>
  <c r="Q278" i="1"/>
  <c r="Q279" i="1"/>
  <c r="Q280" i="1"/>
  <c r="Q281" i="1"/>
  <c r="Q282" i="1"/>
  <c r="Q283" i="1"/>
  <c r="Q284" i="1"/>
  <c r="Q285" i="1"/>
  <c r="Q286" i="1"/>
  <c r="Q287" i="1"/>
  <c r="Q36" i="1"/>
  <c r="Q288" i="1"/>
  <c r="Q289" i="1"/>
  <c r="Q290" i="1"/>
  <c r="Q291" i="1"/>
  <c r="Q292" i="1"/>
  <c r="Q293" i="1"/>
  <c r="Q294" i="1"/>
  <c r="Q295" i="1"/>
  <c r="Q296" i="1"/>
  <c r="Q297" i="1"/>
  <c r="Q37" i="1"/>
  <c r="Q298" i="1"/>
  <c r="Q299" i="1"/>
  <c r="Q300" i="1"/>
  <c r="Q301" i="1"/>
  <c r="Q302" i="1"/>
  <c r="Q303" i="1"/>
  <c r="Q304" i="1"/>
  <c r="Q305" i="1"/>
  <c r="Q306" i="1"/>
  <c r="Q307" i="1"/>
  <c r="Q11" i="1"/>
  <c r="Q38" i="1"/>
  <c r="Q308" i="1"/>
  <c r="Q309" i="1"/>
  <c r="Q310" i="1"/>
  <c r="Q311" i="1"/>
  <c r="Q312" i="1"/>
  <c r="Q313" i="1"/>
  <c r="Q314" i="1"/>
  <c r="Q315" i="1"/>
  <c r="Q316" i="1"/>
  <c r="Q317" i="1"/>
  <c r="Q39" i="1"/>
  <c r="Q318" i="1"/>
  <c r="Q319" i="1"/>
  <c r="Q320" i="1"/>
  <c r="Q321" i="1"/>
  <c r="Q322" i="1"/>
  <c r="Q323" i="1"/>
  <c r="Q324" i="1"/>
  <c r="Q325" i="1"/>
  <c r="Q326" i="1"/>
  <c r="Q327" i="1"/>
  <c r="Q40" i="1"/>
  <c r="Q328" i="1"/>
  <c r="Q329" i="1"/>
  <c r="Q330" i="1"/>
  <c r="Q331" i="1"/>
  <c r="Q332" i="1"/>
  <c r="Q333" i="1"/>
  <c r="Q334" i="1"/>
  <c r="Q335" i="1"/>
  <c r="Q336" i="1"/>
  <c r="Q337" i="1"/>
  <c r="Q41" i="1"/>
  <c r="Q338" i="1"/>
  <c r="Q339" i="1"/>
  <c r="Q340" i="1"/>
  <c r="Q341" i="1"/>
  <c r="Q342" i="1"/>
  <c r="Q343" i="1"/>
  <c r="Q344" i="1"/>
  <c r="Q345" i="1"/>
  <c r="Q346" i="1"/>
  <c r="Q347" i="1"/>
  <c r="Q42" i="1"/>
  <c r="Q348" i="1"/>
  <c r="Q349" i="1"/>
  <c r="Q350" i="1"/>
  <c r="Q351" i="1"/>
  <c r="Q352" i="1"/>
  <c r="Q353" i="1"/>
  <c r="Q354" i="1"/>
  <c r="Q355" i="1"/>
  <c r="Q356" i="1"/>
  <c r="Q357" i="1"/>
  <c r="Q43" i="1"/>
  <c r="Q358" i="1"/>
  <c r="Q359" i="1"/>
  <c r="Q360" i="1"/>
  <c r="Q361" i="1"/>
  <c r="Q362" i="1"/>
  <c r="Q363" i="1"/>
  <c r="Q364" i="1"/>
  <c r="Q365" i="1"/>
  <c r="Q366" i="1"/>
  <c r="Q367" i="1"/>
  <c r="Q44" i="1"/>
  <c r="Q368" i="1"/>
  <c r="Q369" i="1"/>
  <c r="Q370" i="1"/>
  <c r="Q371" i="1"/>
  <c r="Q372" i="1"/>
  <c r="Q373" i="1"/>
  <c r="Q374" i="1"/>
  <c r="Q375" i="1"/>
  <c r="Q376" i="1"/>
  <c r="Q377" i="1"/>
  <c r="Q45" i="1"/>
  <c r="Q378" i="1"/>
  <c r="Q379" i="1"/>
  <c r="Q380" i="1"/>
  <c r="Q381" i="1"/>
  <c r="Q382" i="1"/>
  <c r="Q383" i="1"/>
  <c r="Q384" i="1"/>
  <c r="Q385" i="1"/>
  <c r="Q386" i="1"/>
  <c r="Q387" i="1"/>
  <c r="Q46" i="1"/>
  <c r="Q388" i="1"/>
  <c r="Q389" i="1"/>
  <c r="Q390" i="1"/>
  <c r="Q391" i="1"/>
  <c r="Q392" i="1"/>
  <c r="Q393" i="1"/>
  <c r="Q394" i="1"/>
  <c r="Q395" i="1"/>
  <c r="Q396" i="1"/>
  <c r="Q397" i="1"/>
  <c r="Q47" i="1"/>
  <c r="Q398" i="1"/>
  <c r="Q399" i="1"/>
  <c r="Q400" i="1"/>
  <c r="Q401" i="1"/>
  <c r="Q402" i="1"/>
  <c r="Q403" i="1"/>
  <c r="Q404" i="1"/>
  <c r="Q405" i="1"/>
  <c r="Q406" i="1"/>
  <c r="Q407" i="1"/>
  <c r="Q12" i="1"/>
  <c r="Q48" i="1"/>
  <c r="Q408" i="1"/>
  <c r="Q409" i="1"/>
  <c r="Q410" i="1"/>
  <c r="Q411" i="1"/>
  <c r="Q412" i="1"/>
  <c r="Q413" i="1"/>
  <c r="Q414" i="1"/>
  <c r="Q415" i="1"/>
  <c r="Q416" i="1"/>
  <c r="Q417" i="1"/>
  <c r="Q49" i="1"/>
  <c r="Q418" i="1"/>
  <c r="Q419" i="1"/>
  <c r="Q420" i="1"/>
  <c r="Q421" i="1"/>
  <c r="Q422" i="1"/>
  <c r="Q423" i="1"/>
  <c r="Q424" i="1"/>
  <c r="Q425" i="1"/>
  <c r="Q426" i="1"/>
  <c r="Q427" i="1"/>
  <c r="Q50" i="1"/>
  <c r="Q428" i="1"/>
  <c r="Q429" i="1"/>
  <c r="Q430" i="1"/>
  <c r="Q431" i="1"/>
  <c r="Q432" i="1"/>
  <c r="Q433" i="1"/>
  <c r="Q434" i="1"/>
  <c r="Q435" i="1"/>
  <c r="Q436" i="1"/>
  <c r="Q437" i="1"/>
  <c r="Q51" i="1"/>
  <c r="Q438" i="1"/>
  <c r="Q439" i="1"/>
  <c r="Q440" i="1"/>
  <c r="Q441" i="1"/>
  <c r="Q442" i="1"/>
  <c r="Q443" i="1"/>
  <c r="Q444" i="1"/>
  <c r="Q445" i="1"/>
  <c r="Q446" i="1"/>
  <c r="Q447" i="1"/>
  <c r="Q52" i="1"/>
  <c r="Q448" i="1"/>
  <c r="Q449" i="1"/>
  <c r="Q450" i="1"/>
  <c r="Q451" i="1"/>
  <c r="Q452" i="1"/>
  <c r="Q453" i="1"/>
  <c r="Q454" i="1"/>
  <c r="Q455" i="1"/>
  <c r="Q456" i="1"/>
  <c r="Q457" i="1"/>
  <c r="Q53" i="1"/>
  <c r="Q458" i="1"/>
  <c r="Q459" i="1"/>
  <c r="Q460" i="1"/>
  <c r="Q461" i="1"/>
  <c r="Q462" i="1"/>
  <c r="Q463" i="1"/>
  <c r="Q464" i="1"/>
  <c r="Q465" i="1"/>
  <c r="Q466" i="1"/>
  <c r="Q467" i="1"/>
  <c r="Q54" i="1"/>
  <c r="Q468" i="1"/>
  <c r="Q469" i="1"/>
  <c r="Q470" i="1"/>
  <c r="Q471" i="1"/>
  <c r="Q472" i="1"/>
  <c r="Q473" i="1"/>
  <c r="Q474" i="1"/>
  <c r="Q475" i="1"/>
  <c r="Q476" i="1"/>
  <c r="Q477" i="1"/>
  <c r="Q55" i="1"/>
  <c r="Q478" i="1"/>
  <c r="Q479" i="1"/>
  <c r="Q480" i="1"/>
  <c r="Q481" i="1"/>
  <c r="Q482" i="1"/>
  <c r="Q483" i="1"/>
  <c r="Q484" i="1"/>
  <c r="Q485" i="1"/>
  <c r="Q486" i="1"/>
  <c r="Q487" i="1"/>
  <c r="Q56" i="1"/>
  <c r="Q488" i="1"/>
  <c r="Q489" i="1"/>
  <c r="Q490" i="1"/>
  <c r="Q491" i="1"/>
  <c r="Q492" i="1"/>
  <c r="Q493" i="1"/>
  <c r="Q494" i="1"/>
  <c r="Q495" i="1"/>
  <c r="Q496" i="1"/>
  <c r="Q497" i="1"/>
  <c r="Q57" i="1"/>
  <c r="Q498" i="1"/>
  <c r="Q499" i="1"/>
  <c r="Q500" i="1"/>
  <c r="Q501" i="1"/>
  <c r="Q502" i="1"/>
  <c r="Q503" i="1"/>
  <c r="Q504" i="1"/>
  <c r="Q505" i="1"/>
  <c r="Q506" i="1"/>
  <c r="Q507" i="1"/>
  <c r="Q13" i="1"/>
  <c r="Q58" i="1"/>
  <c r="Q508" i="1"/>
  <c r="Q509" i="1"/>
  <c r="Q510" i="1"/>
  <c r="Q511" i="1"/>
  <c r="Q512" i="1"/>
  <c r="Q513" i="1"/>
  <c r="Q514" i="1"/>
  <c r="Q515" i="1"/>
  <c r="Q516" i="1"/>
  <c r="Q517" i="1"/>
  <c r="Q59" i="1"/>
  <c r="Q518" i="1"/>
  <c r="Q519" i="1"/>
  <c r="Q520" i="1"/>
  <c r="Q521" i="1"/>
  <c r="Q522" i="1"/>
  <c r="Q523" i="1"/>
  <c r="Q524" i="1"/>
  <c r="Q525" i="1"/>
  <c r="Q526" i="1"/>
  <c r="Q527" i="1"/>
  <c r="Q60" i="1"/>
  <c r="Q528" i="1"/>
  <c r="Q529" i="1"/>
  <c r="Q530" i="1"/>
  <c r="Q531" i="1"/>
  <c r="Q532" i="1"/>
  <c r="Q533" i="1"/>
  <c r="Q534" i="1"/>
  <c r="Q535" i="1"/>
  <c r="Q536" i="1"/>
  <c r="Q537" i="1"/>
  <c r="Q61" i="1"/>
  <c r="Q538" i="1"/>
  <c r="Q539" i="1"/>
  <c r="Q540" i="1"/>
  <c r="Q541" i="1"/>
  <c r="Q542" i="1"/>
  <c r="Q543" i="1"/>
  <c r="Q544" i="1"/>
  <c r="Q545" i="1"/>
  <c r="Q546" i="1"/>
  <c r="Q547" i="1"/>
  <c r="Q62" i="1"/>
  <c r="Q63" i="1"/>
  <c r="Q64" i="1"/>
  <c r="Q65" i="1"/>
  <c r="Q66" i="1"/>
  <c r="Q67" i="1"/>
  <c r="Q14" i="1"/>
  <c r="Q68" i="1"/>
  <c r="Q69" i="1"/>
  <c r="Q70" i="1"/>
  <c r="Q71" i="1"/>
  <c r="Q72" i="1"/>
  <c r="Q73" i="1"/>
  <c r="Q74" i="1"/>
  <c r="Q75" i="1"/>
  <c r="Q76" i="1"/>
  <c r="Q77" i="1"/>
  <c r="Q15" i="1"/>
  <c r="Q78" i="1"/>
  <c r="Q79" i="1"/>
  <c r="Q80" i="1"/>
  <c r="Q81" i="1"/>
  <c r="Q82" i="1"/>
  <c r="Q83" i="1"/>
  <c r="Q84" i="1"/>
  <c r="Q85" i="1"/>
  <c r="Q86" i="1"/>
  <c r="Q87" i="1"/>
  <c r="Q16" i="1"/>
  <c r="Q88" i="1"/>
  <c r="Q89" i="1"/>
  <c r="Q90" i="1"/>
  <c r="Q91" i="1"/>
  <c r="Q92" i="1"/>
  <c r="Q93" i="1"/>
  <c r="Q94" i="1"/>
  <c r="Q95" i="1"/>
  <c r="Q96" i="1"/>
  <c r="Q97" i="1"/>
  <c r="Q17" i="1"/>
  <c r="Q98" i="1"/>
  <c r="Q99" i="1"/>
  <c r="Q100" i="1"/>
  <c r="Q101" i="1"/>
  <c r="Q102" i="1"/>
  <c r="Q103" i="1"/>
  <c r="Q104" i="1"/>
  <c r="Q105" i="1"/>
  <c r="Q106" i="1"/>
  <c r="Q107" i="1"/>
  <c r="Q9" i="1"/>
  <c r="M18" i="1"/>
  <c r="M108" i="1"/>
  <c r="M109" i="1"/>
  <c r="M110" i="1"/>
  <c r="M111" i="1"/>
  <c r="M112" i="1"/>
  <c r="M113" i="1"/>
  <c r="M114" i="1"/>
  <c r="M115" i="1"/>
  <c r="M116" i="1"/>
  <c r="M117" i="1"/>
  <c r="M19" i="1"/>
  <c r="M118" i="1"/>
  <c r="M119" i="1"/>
  <c r="M120" i="1"/>
  <c r="M121" i="1"/>
  <c r="M122" i="1"/>
  <c r="M123" i="1"/>
  <c r="M124" i="1"/>
  <c r="M125" i="1"/>
  <c r="M126" i="1"/>
  <c r="M127" i="1"/>
  <c r="M20" i="1"/>
  <c r="M128" i="1"/>
  <c r="M129" i="1"/>
  <c r="M130" i="1"/>
  <c r="M131" i="1"/>
  <c r="M132" i="1"/>
  <c r="M133" i="1"/>
  <c r="M134" i="1"/>
  <c r="M135" i="1"/>
  <c r="M136" i="1"/>
  <c r="M137" i="1"/>
  <c r="M21" i="1"/>
  <c r="M138" i="1"/>
  <c r="M139" i="1"/>
  <c r="M140" i="1"/>
  <c r="M141" i="1"/>
  <c r="M142" i="1"/>
  <c r="M143" i="1"/>
  <c r="M144" i="1"/>
  <c r="M145" i="1"/>
  <c r="M146" i="1"/>
  <c r="M147" i="1"/>
  <c r="M22" i="1"/>
  <c r="M148" i="1"/>
  <c r="M149" i="1"/>
  <c r="M150" i="1"/>
  <c r="M151" i="1"/>
  <c r="M152" i="1"/>
  <c r="M153" i="1"/>
  <c r="M154" i="1"/>
  <c r="M155" i="1"/>
  <c r="M156" i="1"/>
  <c r="M157" i="1"/>
  <c r="M23" i="1"/>
  <c r="M158" i="1"/>
  <c r="M159" i="1"/>
  <c r="M160" i="1"/>
  <c r="M161" i="1"/>
  <c r="M162" i="1"/>
  <c r="M163" i="1"/>
  <c r="M164" i="1"/>
  <c r="M165" i="1"/>
  <c r="M166" i="1"/>
  <c r="M167" i="1"/>
  <c r="M24" i="1"/>
  <c r="M168" i="1"/>
  <c r="M169" i="1"/>
  <c r="M170" i="1"/>
  <c r="M171" i="1"/>
  <c r="M172" i="1"/>
  <c r="M173" i="1"/>
  <c r="M174" i="1"/>
  <c r="M175" i="1"/>
  <c r="M176" i="1"/>
  <c r="M177" i="1"/>
  <c r="M25" i="1"/>
  <c r="M178" i="1"/>
  <c r="M179" i="1"/>
  <c r="M180" i="1"/>
  <c r="M181" i="1"/>
  <c r="M182" i="1"/>
  <c r="M183" i="1"/>
  <c r="M184" i="1"/>
  <c r="M185" i="1"/>
  <c r="M186" i="1"/>
  <c r="M187" i="1"/>
  <c r="M26" i="1"/>
  <c r="M188" i="1"/>
  <c r="M189" i="1"/>
  <c r="M190" i="1"/>
  <c r="M191" i="1"/>
  <c r="M192" i="1"/>
  <c r="M193" i="1"/>
  <c r="M194" i="1"/>
  <c r="M195" i="1"/>
  <c r="M196" i="1"/>
  <c r="M197" i="1"/>
  <c r="M27" i="1"/>
  <c r="M198" i="1"/>
  <c r="M199" i="1"/>
  <c r="M200" i="1"/>
  <c r="M201" i="1"/>
  <c r="M202" i="1"/>
  <c r="M203" i="1"/>
  <c r="M204" i="1"/>
  <c r="M205" i="1"/>
  <c r="M206" i="1"/>
  <c r="M207" i="1"/>
  <c r="M10" i="1"/>
  <c r="M28" i="1"/>
  <c r="M208" i="1"/>
  <c r="M209" i="1"/>
  <c r="M210" i="1"/>
  <c r="M211" i="1"/>
  <c r="M212" i="1"/>
  <c r="M213" i="1"/>
  <c r="M214" i="1"/>
  <c r="M215" i="1"/>
  <c r="M216" i="1"/>
  <c r="M217" i="1"/>
  <c r="M29" i="1"/>
  <c r="M218" i="1"/>
  <c r="M219" i="1"/>
  <c r="M220" i="1"/>
  <c r="M221" i="1"/>
  <c r="M222" i="1"/>
  <c r="M223" i="1"/>
  <c r="M224" i="1"/>
  <c r="M225" i="1"/>
  <c r="M226" i="1"/>
  <c r="M227" i="1"/>
  <c r="M30" i="1"/>
  <c r="M228" i="1"/>
  <c r="M229" i="1"/>
  <c r="M230" i="1"/>
  <c r="M231" i="1"/>
  <c r="M232" i="1"/>
  <c r="M233" i="1"/>
  <c r="M234" i="1"/>
  <c r="M235" i="1"/>
  <c r="M236" i="1"/>
  <c r="M237" i="1"/>
  <c r="M31" i="1"/>
  <c r="M238" i="1"/>
  <c r="M239" i="1"/>
  <c r="M240" i="1"/>
  <c r="M241" i="1"/>
  <c r="M242" i="1"/>
  <c r="M243" i="1"/>
  <c r="M244" i="1"/>
  <c r="M245" i="1"/>
  <c r="M246" i="1"/>
  <c r="M247" i="1"/>
  <c r="M32" i="1"/>
  <c r="M248" i="1"/>
  <c r="M249" i="1"/>
  <c r="M250" i="1"/>
  <c r="M251" i="1"/>
  <c r="M252" i="1"/>
  <c r="M253" i="1"/>
  <c r="M254" i="1"/>
  <c r="M255" i="1"/>
  <c r="M256" i="1"/>
  <c r="M257" i="1"/>
  <c r="M33" i="1"/>
  <c r="M258" i="1"/>
  <c r="M259" i="1"/>
  <c r="M260" i="1"/>
  <c r="M261" i="1"/>
  <c r="M262" i="1"/>
  <c r="M263" i="1"/>
  <c r="M264" i="1"/>
  <c r="M265" i="1"/>
  <c r="M266" i="1"/>
  <c r="M267" i="1"/>
  <c r="M34" i="1"/>
  <c r="M268" i="1"/>
  <c r="M269" i="1"/>
  <c r="M270" i="1"/>
  <c r="M271" i="1"/>
  <c r="M272" i="1"/>
  <c r="M273" i="1"/>
  <c r="M274" i="1"/>
  <c r="M275" i="1"/>
  <c r="M276" i="1"/>
  <c r="M277" i="1"/>
  <c r="M35" i="1"/>
  <c r="M278" i="1"/>
  <c r="M279" i="1"/>
  <c r="M280" i="1"/>
  <c r="M281" i="1"/>
  <c r="M282" i="1"/>
  <c r="M283" i="1"/>
  <c r="M284" i="1"/>
  <c r="M285" i="1"/>
  <c r="M286" i="1"/>
  <c r="M287" i="1"/>
  <c r="M36" i="1"/>
  <c r="M288" i="1"/>
  <c r="M289" i="1"/>
  <c r="M290" i="1"/>
  <c r="M291" i="1"/>
  <c r="M292" i="1"/>
  <c r="M293" i="1"/>
  <c r="M294" i="1"/>
  <c r="M295" i="1"/>
  <c r="M296" i="1"/>
  <c r="M297" i="1"/>
  <c r="M37" i="1"/>
  <c r="M298" i="1"/>
  <c r="M299" i="1"/>
  <c r="M300" i="1"/>
  <c r="M301" i="1"/>
  <c r="M302" i="1"/>
  <c r="M303" i="1"/>
  <c r="M304" i="1"/>
  <c r="M305" i="1"/>
  <c r="M306" i="1"/>
  <c r="M307" i="1"/>
  <c r="M11" i="1"/>
  <c r="M38" i="1"/>
  <c r="M308" i="1"/>
  <c r="M309" i="1"/>
  <c r="M310" i="1"/>
  <c r="M311" i="1"/>
  <c r="M312" i="1"/>
  <c r="M313" i="1"/>
  <c r="M314" i="1"/>
  <c r="M315" i="1"/>
  <c r="M316" i="1"/>
  <c r="M317" i="1"/>
  <c r="M39" i="1"/>
  <c r="M318" i="1"/>
  <c r="M319" i="1"/>
  <c r="M320" i="1"/>
  <c r="M321" i="1"/>
  <c r="M322" i="1"/>
  <c r="M323" i="1"/>
  <c r="M324" i="1"/>
  <c r="M325" i="1"/>
  <c r="M326" i="1"/>
  <c r="M327" i="1"/>
  <c r="M40" i="1"/>
  <c r="M328" i="1"/>
  <c r="M329" i="1"/>
  <c r="M330" i="1"/>
  <c r="M331" i="1"/>
  <c r="M332" i="1"/>
  <c r="M333" i="1"/>
  <c r="M334" i="1"/>
  <c r="M335" i="1"/>
  <c r="M336" i="1"/>
  <c r="M337" i="1"/>
  <c r="M41" i="1"/>
  <c r="M338" i="1"/>
  <c r="M339" i="1"/>
  <c r="M340" i="1"/>
  <c r="M341" i="1"/>
  <c r="M342" i="1"/>
  <c r="M343" i="1"/>
  <c r="M344" i="1"/>
  <c r="M345" i="1"/>
  <c r="M346" i="1"/>
  <c r="M347" i="1"/>
  <c r="M42" i="1"/>
  <c r="M348" i="1"/>
  <c r="M349" i="1"/>
  <c r="M350" i="1"/>
  <c r="M351" i="1"/>
  <c r="M352" i="1"/>
  <c r="M353" i="1"/>
  <c r="M354" i="1"/>
  <c r="M355" i="1"/>
  <c r="M356" i="1"/>
  <c r="M357" i="1"/>
  <c r="M43" i="1"/>
  <c r="M358" i="1"/>
  <c r="M359" i="1"/>
  <c r="M360" i="1"/>
  <c r="M361" i="1"/>
  <c r="M362" i="1"/>
  <c r="M363" i="1"/>
  <c r="M364" i="1"/>
  <c r="M365" i="1"/>
  <c r="M366" i="1"/>
  <c r="M367" i="1"/>
  <c r="M44" i="1"/>
  <c r="M368" i="1"/>
  <c r="M369" i="1"/>
  <c r="M370" i="1"/>
  <c r="M371" i="1"/>
  <c r="M372" i="1"/>
  <c r="M373" i="1"/>
  <c r="M374" i="1"/>
  <c r="M375" i="1"/>
  <c r="M376" i="1"/>
  <c r="M377" i="1"/>
  <c r="M45" i="1"/>
  <c r="M378" i="1"/>
  <c r="M379" i="1"/>
  <c r="M380" i="1"/>
  <c r="M381" i="1"/>
  <c r="M382" i="1"/>
  <c r="M383" i="1"/>
  <c r="M384" i="1"/>
  <c r="M385" i="1"/>
  <c r="M386" i="1"/>
  <c r="M387" i="1"/>
  <c r="M46" i="1"/>
  <c r="M388" i="1"/>
  <c r="M389" i="1"/>
  <c r="M390" i="1"/>
  <c r="M391" i="1"/>
  <c r="M392" i="1"/>
  <c r="M393" i="1"/>
  <c r="M394" i="1"/>
  <c r="M395" i="1"/>
  <c r="M396" i="1"/>
  <c r="M397" i="1"/>
  <c r="M47" i="1"/>
  <c r="M398" i="1"/>
  <c r="M399" i="1"/>
  <c r="M400" i="1"/>
  <c r="M401" i="1"/>
  <c r="M402" i="1"/>
  <c r="M403" i="1"/>
  <c r="M404" i="1"/>
  <c r="M405" i="1"/>
  <c r="M406" i="1"/>
  <c r="M407" i="1"/>
  <c r="M12" i="1"/>
  <c r="M48" i="1"/>
  <c r="M408" i="1"/>
  <c r="M409" i="1"/>
  <c r="M410" i="1"/>
  <c r="M411" i="1"/>
  <c r="M412" i="1"/>
  <c r="M413" i="1"/>
  <c r="M414" i="1"/>
  <c r="M415" i="1"/>
  <c r="M416" i="1"/>
  <c r="M417" i="1"/>
  <c r="M49" i="1"/>
  <c r="M418" i="1"/>
  <c r="M419" i="1"/>
  <c r="M420" i="1"/>
  <c r="M421" i="1"/>
  <c r="M422" i="1"/>
  <c r="M423" i="1"/>
  <c r="M424" i="1"/>
  <c r="M425" i="1"/>
  <c r="M426" i="1"/>
  <c r="M427" i="1"/>
  <c r="M50" i="1"/>
  <c r="M428" i="1"/>
  <c r="M429" i="1"/>
  <c r="M430" i="1"/>
  <c r="M431" i="1"/>
  <c r="M432" i="1"/>
  <c r="M433" i="1"/>
  <c r="M434" i="1"/>
  <c r="M435" i="1"/>
  <c r="M436" i="1"/>
  <c r="M437" i="1"/>
  <c r="M51" i="1"/>
  <c r="M438" i="1"/>
  <c r="M439" i="1"/>
  <c r="M440" i="1"/>
  <c r="M441" i="1"/>
  <c r="M442" i="1"/>
  <c r="M443" i="1"/>
  <c r="M444" i="1"/>
  <c r="M445" i="1"/>
  <c r="M446" i="1"/>
  <c r="M447" i="1"/>
  <c r="M52" i="1"/>
  <c r="M448" i="1"/>
  <c r="M449" i="1"/>
  <c r="M450" i="1"/>
  <c r="M451" i="1"/>
  <c r="M452" i="1"/>
  <c r="M453" i="1"/>
  <c r="M454" i="1"/>
  <c r="M455" i="1"/>
  <c r="M456" i="1"/>
  <c r="M457" i="1"/>
  <c r="M53" i="1"/>
  <c r="M458" i="1"/>
  <c r="M459" i="1"/>
  <c r="M460" i="1"/>
  <c r="M461" i="1"/>
  <c r="M462" i="1"/>
  <c r="M463" i="1"/>
  <c r="M464" i="1"/>
  <c r="M465" i="1"/>
  <c r="M466" i="1"/>
  <c r="M467" i="1"/>
  <c r="M54" i="1"/>
  <c r="M468" i="1"/>
  <c r="M469" i="1"/>
  <c r="M470" i="1"/>
  <c r="M471" i="1"/>
  <c r="M472" i="1"/>
  <c r="M473" i="1"/>
  <c r="M474" i="1"/>
  <c r="M475" i="1"/>
  <c r="M476" i="1"/>
  <c r="M477" i="1"/>
  <c r="M55" i="1"/>
  <c r="M478" i="1"/>
  <c r="M479" i="1"/>
  <c r="M480" i="1"/>
  <c r="M481" i="1"/>
  <c r="M482" i="1"/>
  <c r="M483" i="1"/>
  <c r="M484" i="1"/>
  <c r="M485" i="1"/>
  <c r="M486" i="1"/>
  <c r="M487" i="1"/>
  <c r="M56" i="1"/>
  <c r="M488" i="1"/>
  <c r="M489" i="1"/>
  <c r="M490" i="1"/>
  <c r="M491" i="1"/>
  <c r="M492" i="1"/>
  <c r="M493" i="1"/>
  <c r="M494" i="1"/>
  <c r="M495" i="1"/>
  <c r="M496" i="1"/>
  <c r="M497" i="1"/>
  <c r="M57" i="1"/>
  <c r="M498" i="1"/>
  <c r="M499" i="1"/>
  <c r="M500" i="1"/>
  <c r="M501" i="1"/>
  <c r="M502" i="1"/>
  <c r="M503" i="1"/>
  <c r="M504" i="1"/>
  <c r="M505" i="1"/>
  <c r="M506" i="1"/>
  <c r="M507" i="1"/>
  <c r="M13" i="1"/>
  <c r="M58" i="1"/>
  <c r="M508" i="1"/>
  <c r="M509" i="1"/>
  <c r="M510" i="1"/>
  <c r="M511" i="1"/>
  <c r="M512" i="1"/>
  <c r="M513" i="1"/>
  <c r="M514" i="1"/>
  <c r="M515" i="1"/>
  <c r="M516" i="1"/>
  <c r="M517" i="1"/>
  <c r="M59" i="1"/>
  <c r="M518" i="1"/>
  <c r="M519" i="1"/>
  <c r="M520" i="1"/>
  <c r="M521" i="1"/>
  <c r="M522" i="1"/>
  <c r="M523" i="1"/>
  <c r="M524" i="1"/>
  <c r="M525" i="1"/>
  <c r="M526" i="1"/>
  <c r="M527" i="1"/>
  <c r="M60" i="1"/>
  <c r="M528" i="1"/>
  <c r="M529" i="1"/>
  <c r="M530" i="1"/>
  <c r="M531" i="1"/>
  <c r="M532" i="1"/>
  <c r="M533" i="1"/>
  <c r="M534" i="1"/>
  <c r="M535" i="1"/>
  <c r="M536" i="1"/>
  <c r="M537" i="1"/>
  <c r="M61" i="1"/>
  <c r="M538" i="1"/>
  <c r="M539" i="1"/>
  <c r="M540" i="1"/>
  <c r="M541" i="1"/>
  <c r="M542" i="1"/>
  <c r="M543" i="1"/>
  <c r="M544" i="1"/>
  <c r="M545" i="1"/>
  <c r="M546" i="1"/>
  <c r="M547" i="1"/>
  <c r="M62" i="1"/>
  <c r="M63" i="1"/>
  <c r="M64" i="1"/>
  <c r="M65" i="1"/>
  <c r="M66" i="1"/>
  <c r="M67" i="1"/>
  <c r="M14" i="1"/>
  <c r="M68" i="1"/>
  <c r="M69" i="1"/>
  <c r="M70" i="1"/>
  <c r="M71" i="1"/>
  <c r="M72" i="1"/>
  <c r="M73" i="1"/>
  <c r="M74" i="1"/>
  <c r="M75" i="1"/>
  <c r="M76" i="1"/>
  <c r="M77" i="1"/>
  <c r="M15" i="1"/>
  <c r="M78" i="1"/>
  <c r="M79" i="1"/>
  <c r="M80" i="1"/>
  <c r="M81" i="1"/>
  <c r="M82" i="1"/>
  <c r="M83" i="1"/>
  <c r="M84" i="1"/>
  <c r="M85" i="1"/>
  <c r="M86" i="1"/>
  <c r="M87" i="1"/>
  <c r="M16" i="1"/>
  <c r="M88" i="1"/>
  <c r="M89" i="1"/>
  <c r="M90" i="1"/>
  <c r="M91" i="1"/>
  <c r="M92" i="1"/>
  <c r="M93" i="1"/>
  <c r="M94" i="1"/>
  <c r="M95" i="1"/>
  <c r="M96" i="1"/>
  <c r="M97" i="1"/>
  <c r="M17" i="1"/>
  <c r="M98" i="1"/>
  <c r="M99" i="1"/>
  <c r="M100" i="1"/>
  <c r="M101" i="1"/>
  <c r="M102" i="1"/>
  <c r="M103" i="1"/>
  <c r="M104" i="1"/>
  <c r="M105" i="1"/>
  <c r="M106" i="1"/>
  <c r="M107" i="1"/>
  <c r="K18" i="1"/>
  <c r="K108" i="1"/>
  <c r="K109" i="1"/>
  <c r="K110" i="1"/>
  <c r="K111" i="1"/>
  <c r="K112" i="1"/>
  <c r="K113" i="1"/>
  <c r="K114" i="1"/>
  <c r="K115" i="1"/>
  <c r="K116" i="1"/>
  <c r="K117" i="1"/>
  <c r="K19" i="1"/>
  <c r="K118" i="1"/>
  <c r="K119" i="1"/>
  <c r="K120" i="1"/>
  <c r="K121" i="1"/>
  <c r="K122" i="1"/>
  <c r="K123" i="1"/>
  <c r="K124" i="1"/>
  <c r="K125" i="1"/>
  <c r="K126" i="1"/>
  <c r="K127" i="1"/>
  <c r="K20" i="1"/>
  <c r="K128" i="1"/>
  <c r="K129" i="1"/>
  <c r="K130" i="1"/>
  <c r="K131" i="1"/>
  <c r="K132" i="1"/>
  <c r="K133" i="1"/>
  <c r="K134" i="1"/>
  <c r="K135" i="1"/>
  <c r="K136" i="1"/>
  <c r="K137" i="1"/>
  <c r="K21" i="1"/>
  <c r="K138" i="1"/>
  <c r="K139" i="1"/>
  <c r="K140" i="1"/>
  <c r="K141" i="1"/>
  <c r="K142" i="1"/>
  <c r="K143" i="1"/>
  <c r="K144" i="1"/>
  <c r="K145" i="1"/>
  <c r="K146" i="1"/>
  <c r="K147" i="1"/>
  <c r="K22" i="1"/>
  <c r="K148" i="1"/>
  <c r="K149" i="1"/>
  <c r="K150" i="1"/>
  <c r="K151" i="1"/>
  <c r="K152" i="1"/>
  <c r="K153" i="1"/>
  <c r="K154" i="1"/>
  <c r="K155" i="1"/>
  <c r="K156" i="1"/>
  <c r="K157" i="1"/>
  <c r="K23" i="1"/>
  <c r="K158" i="1"/>
  <c r="K159" i="1"/>
  <c r="K160" i="1"/>
  <c r="K161" i="1"/>
  <c r="K162" i="1"/>
  <c r="K163" i="1"/>
  <c r="K164" i="1"/>
  <c r="K165" i="1"/>
  <c r="K166" i="1"/>
  <c r="K167" i="1"/>
  <c r="K24" i="1"/>
  <c r="K168" i="1"/>
  <c r="K169" i="1"/>
  <c r="K170" i="1"/>
  <c r="K171" i="1"/>
  <c r="K172" i="1"/>
  <c r="K173" i="1"/>
  <c r="K174" i="1"/>
  <c r="K175" i="1"/>
  <c r="K176" i="1"/>
  <c r="K177" i="1"/>
  <c r="K25" i="1"/>
  <c r="K178" i="1"/>
  <c r="K179" i="1"/>
  <c r="K180" i="1"/>
  <c r="K181" i="1"/>
  <c r="K182" i="1"/>
  <c r="K183" i="1"/>
  <c r="K184" i="1"/>
  <c r="K185" i="1"/>
  <c r="K186" i="1"/>
  <c r="K187" i="1"/>
  <c r="K26" i="1"/>
  <c r="K188" i="1"/>
  <c r="K189" i="1"/>
  <c r="K190" i="1"/>
  <c r="K191" i="1"/>
  <c r="K192" i="1"/>
  <c r="K193" i="1"/>
  <c r="K194" i="1"/>
  <c r="K195" i="1"/>
  <c r="K196" i="1"/>
  <c r="K197" i="1"/>
  <c r="K27" i="1"/>
  <c r="K198" i="1"/>
  <c r="K199" i="1"/>
  <c r="K200" i="1"/>
  <c r="K201" i="1"/>
  <c r="K202" i="1"/>
  <c r="K203" i="1"/>
  <c r="K204" i="1"/>
  <c r="K205" i="1"/>
  <c r="K206" i="1"/>
  <c r="K207" i="1"/>
  <c r="K10" i="1"/>
  <c r="K28" i="1"/>
  <c r="K208" i="1"/>
  <c r="K209" i="1"/>
  <c r="K210" i="1"/>
  <c r="K211" i="1"/>
  <c r="K212" i="1"/>
  <c r="K213" i="1"/>
  <c r="K214" i="1"/>
  <c r="K215" i="1"/>
  <c r="K216" i="1"/>
  <c r="K217" i="1"/>
  <c r="K29" i="1"/>
  <c r="K218" i="1"/>
  <c r="K219" i="1"/>
  <c r="K220" i="1"/>
  <c r="K221" i="1"/>
  <c r="K222" i="1"/>
  <c r="K223" i="1"/>
  <c r="K224" i="1"/>
  <c r="K225" i="1"/>
  <c r="K226" i="1"/>
  <c r="K227" i="1"/>
  <c r="K30" i="1"/>
  <c r="K228" i="1"/>
  <c r="K229" i="1"/>
  <c r="K230" i="1"/>
  <c r="K231" i="1"/>
  <c r="K232" i="1"/>
  <c r="K233" i="1"/>
  <c r="K234" i="1"/>
  <c r="K235" i="1"/>
  <c r="K236" i="1"/>
  <c r="K237" i="1"/>
  <c r="K31" i="1"/>
  <c r="K238" i="1"/>
  <c r="K239" i="1"/>
  <c r="K240" i="1"/>
  <c r="K241" i="1"/>
  <c r="K242" i="1"/>
  <c r="K243" i="1"/>
  <c r="K244" i="1"/>
  <c r="K245" i="1"/>
  <c r="K246" i="1"/>
  <c r="K247" i="1"/>
  <c r="K32" i="1"/>
  <c r="K248" i="1"/>
  <c r="K249" i="1"/>
  <c r="K250" i="1"/>
  <c r="K251" i="1"/>
  <c r="K252" i="1"/>
  <c r="K253" i="1"/>
  <c r="K254" i="1"/>
  <c r="K255" i="1"/>
  <c r="K256" i="1"/>
  <c r="K257" i="1"/>
  <c r="K33" i="1"/>
  <c r="K258" i="1"/>
  <c r="K259" i="1"/>
  <c r="K260" i="1"/>
  <c r="K261" i="1"/>
  <c r="K262" i="1"/>
  <c r="K263" i="1"/>
  <c r="K264" i="1"/>
  <c r="K265" i="1"/>
  <c r="K266" i="1"/>
  <c r="K267" i="1"/>
  <c r="K34" i="1"/>
  <c r="K268" i="1"/>
  <c r="K269" i="1"/>
  <c r="K270" i="1"/>
  <c r="K271" i="1"/>
  <c r="K272" i="1"/>
  <c r="K273" i="1"/>
  <c r="K274" i="1"/>
  <c r="K275" i="1"/>
  <c r="K276" i="1"/>
  <c r="K277" i="1"/>
  <c r="K35" i="1"/>
  <c r="K278" i="1"/>
  <c r="K279" i="1"/>
  <c r="K280" i="1"/>
  <c r="K281" i="1"/>
  <c r="K282" i="1"/>
  <c r="K283" i="1"/>
  <c r="K284" i="1"/>
  <c r="K285" i="1"/>
  <c r="K286" i="1"/>
  <c r="K287" i="1"/>
  <c r="K36" i="1"/>
  <c r="K288" i="1"/>
  <c r="K289" i="1"/>
  <c r="K290" i="1"/>
  <c r="K291" i="1"/>
  <c r="K292" i="1"/>
  <c r="K293" i="1"/>
  <c r="K294" i="1"/>
  <c r="K295" i="1"/>
  <c r="K296" i="1"/>
  <c r="K297" i="1"/>
  <c r="K37" i="1"/>
  <c r="K298" i="1"/>
  <c r="K299" i="1"/>
  <c r="K300" i="1"/>
  <c r="K301" i="1"/>
  <c r="K302" i="1"/>
  <c r="K303" i="1"/>
  <c r="K304" i="1"/>
  <c r="K305" i="1"/>
  <c r="K306" i="1"/>
  <c r="K307" i="1"/>
  <c r="K11" i="1"/>
  <c r="K38" i="1"/>
  <c r="K308" i="1"/>
  <c r="K309" i="1"/>
  <c r="K310" i="1"/>
  <c r="K311" i="1"/>
  <c r="K312" i="1"/>
  <c r="K313" i="1"/>
  <c r="K314" i="1"/>
  <c r="K315" i="1"/>
  <c r="K316" i="1"/>
  <c r="K317" i="1"/>
  <c r="K39" i="1"/>
  <c r="K318" i="1"/>
  <c r="K319" i="1"/>
  <c r="K320" i="1"/>
  <c r="K321" i="1"/>
  <c r="K322" i="1"/>
  <c r="K323" i="1"/>
  <c r="K324" i="1"/>
  <c r="K325" i="1"/>
  <c r="K326" i="1"/>
  <c r="K327" i="1"/>
  <c r="K40" i="1"/>
  <c r="K328" i="1"/>
  <c r="K329" i="1"/>
  <c r="K330" i="1"/>
  <c r="K331" i="1"/>
  <c r="K332" i="1"/>
  <c r="K333" i="1"/>
  <c r="K334" i="1"/>
  <c r="K335" i="1"/>
  <c r="K336" i="1"/>
  <c r="K337" i="1"/>
  <c r="K41" i="1"/>
  <c r="K338" i="1"/>
  <c r="K339" i="1"/>
  <c r="K340" i="1"/>
  <c r="K341" i="1"/>
  <c r="K342" i="1"/>
  <c r="K343" i="1"/>
  <c r="K344" i="1"/>
  <c r="K345" i="1"/>
  <c r="K346" i="1"/>
  <c r="K347" i="1"/>
  <c r="K42" i="1"/>
  <c r="K348" i="1"/>
  <c r="K349" i="1"/>
  <c r="K350" i="1"/>
  <c r="K351" i="1"/>
  <c r="K352" i="1"/>
  <c r="K353" i="1"/>
  <c r="K354" i="1"/>
  <c r="K355" i="1"/>
  <c r="K356" i="1"/>
  <c r="K357" i="1"/>
  <c r="K43" i="1"/>
  <c r="K358" i="1"/>
  <c r="K359" i="1"/>
  <c r="K360" i="1"/>
  <c r="K361" i="1"/>
  <c r="K362" i="1"/>
  <c r="K363" i="1"/>
  <c r="K364" i="1"/>
  <c r="K365" i="1"/>
  <c r="K366" i="1"/>
  <c r="K367" i="1"/>
  <c r="K44" i="1"/>
  <c r="K368" i="1"/>
  <c r="K369" i="1"/>
  <c r="K370" i="1"/>
  <c r="K371" i="1"/>
  <c r="K372" i="1"/>
  <c r="K373" i="1"/>
  <c r="K374" i="1"/>
  <c r="K375" i="1"/>
  <c r="K376" i="1"/>
  <c r="K377" i="1"/>
  <c r="K45" i="1"/>
  <c r="K378" i="1"/>
  <c r="K379" i="1"/>
  <c r="K380" i="1"/>
  <c r="K381" i="1"/>
  <c r="K382" i="1"/>
  <c r="K383" i="1"/>
  <c r="K384" i="1"/>
  <c r="K385" i="1"/>
  <c r="K386" i="1"/>
  <c r="K387" i="1"/>
  <c r="K46" i="1"/>
  <c r="K388" i="1"/>
  <c r="K389" i="1"/>
  <c r="K390" i="1"/>
  <c r="K391" i="1"/>
  <c r="K392" i="1"/>
  <c r="K393" i="1"/>
  <c r="K394" i="1"/>
  <c r="K395" i="1"/>
  <c r="K396" i="1"/>
  <c r="K397" i="1"/>
  <c r="K47" i="1"/>
  <c r="K398" i="1"/>
  <c r="K399" i="1"/>
  <c r="K400" i="1"/>
  <c r="K401" i="1"/>
  <c r="K402" i="1"/>
  <c r="K403" i="1"/>
  <c r="K404" i="1"/>
  <c r="K405" i="1"/>
  <c r="K406" i="1"/>
  <c r="K407" i="1"/>
  <c r="K12" i="1"/>
  <c r="K48" i="1"/>
  <c r="K408" i="1"/>
  <c r="K409" i="1"/>
  <c r="K410" i="1"/>
  <c r="K411" i="1"/>
  <c r="K412" i="1"/>
  <c r="K413" i="1"/>
  <c r="K414" i="1"/>
  <c r="K415" i="1"/>
  <c r="K416" i="1"/>
  <c r="K417" i="1"/>
  <c r="K49" i="1"/>
  <c r="K418" i="1"/>
  <c r="K419" i="1"/>
  <c r="K420" i="1"/>
  <c r="K421" i="1"/>
  <c r="K422" i="1"/>
  <c r="K423" i="1"/>
  <c r="K424" i="1"/>
  <c r="K425" i="1"/>
  <c r="K426" i="1"/>
  <c r="K427" i="1"/>
  <c r="K50" i="1"/>
  <c r="K428" i="1"/>
  <c r="K429" i="1"/>
  <c r="K430" i="1"/>
  <c r="K431" i="1"/>
  <c r="K432" i="1"/>
  <c r="K433" i="1"/>
  <c r="K434" i="1"/>
  <c r="K435" i="1"/>
  <c r="K436" i="1"/>
  <c r="K437" i="1"/>
  <c r="K51" i="1"/>
  <c r="K438" i="1"/>
  <c r="K439" i="1"/>
  <c r="K440" i="1"/>
  <c r="K441" i="1"/>
  <c r="K442" i="1"/>
  <c r="K443" i="1"/>
  <c r="K444" i="1"/>
  <c r="K445" i="1"/>
  <c r="K446" i="1"/>
  <c r="K447" i="1"/>
  <c r="K52" i="1"/>
  <c r="K448" i="1"/>
  <c r="K449" i="1"/>
  <c r="K450" i="1"/>
  <c r="K451" i="1"/>
  <c r="K452" i="1"/>
  <c r="K453" i="1"/>
  <c r="K454" i="1"/>
  <c r="K455" i="1"/>
  <c r="K456" i="1"/>
  <c r="K457" i="1"/>
  <c r="K53" i="1"/>
  <c r="K458" i="1"/>
  <c r="K459" i="1"/>
  <c r="K460" i="1"/>
  <c r="K461" i="1"/>
  <c r="K462" i="1"/>
  <c r="K463" i="1"/>
  <c r="K464" i="1"/>
  <c r="K465" i="1"/>
  <c r="K466" i="1"/>
  <c r="K467" i="1"/>
  <c r="K54" i="1"/>
  <c r="K468" i="1"/>
  <c r="K469" i="1"/>
  <c r="K470" i="1"/>
  <c r="K471" i="1"/>
  <c r="K472" i="1"/>
  <c r="K473" i="1"/>
  <c r="K474" i="1"/>
  <c r="K475" i="1"/>
  <c r="K476" i="1"/>
  <c r="K477" i="1"/>
  <c r="K55" i="1"/>
  <c r="K478" i="1"/>
  <c r="K479" i="1"/>
  <c r="K480" i="1"/>
  <c r="K481" i="1"/>
  <c r="K482" i="1"/>
  <c r="K483" i="1"/>
  <c r="K484" i="1"/>
  <c r="K485" i="1"/>
  <c r="K486" i="1"/>
  <c r="K487" i="1"/>
  <c r="K56" i="1"/>
  <c r="K488" i="1"/>
  <c r="K489" i="1"/>
  <c r="K490" i="1"/>
  <c r="K491" i="1"/>
  <c r="K492" i="1"/>
  <c r="K493" i="1"/>
  <c r="K494" i="1"/>
  <c r="K495" i="1"/>
  <c r="K496" i="1"/>
  <c r="K497" i="1"/>
  <c r="K57" i="1"/>
  <c r="K498" i="1"/>
  <c r="K499" i="1"/>
  <c r="K500" i="1"/>
  <c r="K501" i="1"/>
  <c r="K502" i="1"/>
  <c r="K503" i="1"/>
  <c r="K504" i="1"/>
  <c r="K505" i="1"/>
  <c r="K506" i="1"/>
  <c r="K507" i="1"/>
  <c r="K13" i="1"/>
  <c r="K58" i="1"/>
  <c r="K508" i="1"/>
  <c r="K509" i="1"/>
  <c r="K510" i="1"/>
  <c r="K511" i="1"/>
  <c r="K512" i="1"/>
  <c r="K513" i="1"/>
  <c r="K514" i="1"/>
  <c r="K515" i="1"/>
  <c r="K516" i="1"/>
  <c r="K517" i="1"/>
  <c r="K59" i="1"/>
  <c r="K518" i="1"/>
  <c r="K519" i="1"/>
  <c r="K520" i="1"/>
  <c r="K521" i="1"/>
  <c r="K522" i="1"/>
  <c r="K523" i="1"/>
  <c r="K524" i="1"/>
  <c r="K525" i="1"/>
  <c r="K526" i="1"/>
  <c r="K527" i="1"/>
  <c r="K60" i="1"/>
  <c r="K528" i="1"/>
  <c r="K529" i="1"/>
  <c r="K530" i="1"/>
  <c r="K531" i="1"/>
  <c r="K532" i="1"/>
  <c r="K533" i="1"/>
  <c r="K534" i="1"/>
  <c r="K535" i="1"/>
  <c r="K536" i="1"/>
  <c r="K537" i="1"/>
  <c r="K61" i="1"/>
  <c r="K538" i="1"/>
  <c r="K539" i="1"/>
  <c r="K540" i="1"/>
  <c r="K541" i="1"/>
  <c r="K542" i="1"/>
  <c r="K543" i="1"/>
  <c r="K544" i="1"/>
  <c r="K545" i="1"/>
  <c r="K546" i="1"/>
  <c r="K62" i="1"/>
  <c r="K63" i="1"/>
  <c r="K64" i="1"/>
  <c r="K65" i="1"/>
  <c r="K66" i="1"/>
  <c r="K67" i="1"/>
  <c r="K14" i="1"/>
  <c r="K68" i="1"/>
  <c r="K69" i="1"/>
  <c r="K70" i="1"/>
  <c r="K71" i="1"/>
  <c r="K72" i="1"/>
  <c r="K73" i="1"/>
  <c r="K74" i="1"/>
  <c r="K75" i="1"/>
  <c r="K76" i="1"/>
  <c r="K77" i="1"/>
  <c r="K15" i="1"/>
  <c r="K78" i="1"/>
  <c r="K79" i="1"/>
  <c r="K80" i="1"/>
  <c r="K81" i="1"/>
  <c r="K82" i="1"/>
  <c r="K83" i="1"/>
  <c r="K84" i="1"/>
  <c r="K85" i="1"/>
  <c r="K86" i="1"/>
  <c r="K87" i="1"/>
  <c r="K16" i="1"/>
  <c r="K88" i="1"/>
  <c r="K89" i="1"/>
  <c r="K90" i="1"/>
  <c r="K91" i="1"/>
  <c r="K92" i="1"/>
  <c r="K93" i="1"/>
  <c r="K94" i="1"/>
  <c r="K95" i="1"/>
  <c r="K96" i="1"/>
  <c r="K97" i="1"/>
  <c r="K17" i="1"/>
  <c r="K98" i="1"/>
  <c r="K99" i="1"/>
  <c r="K100" i="1"/>
  <c r="K101" i="1"/>
  <c r="K102" i="1"/>
  <c r="K103" i="1"/>
  <c r="K104" i="1"/>
  <c r="K105" i="1"/>
  <c r="K106" i="1"/>
  <c r="K107" i="1"/>
  <c r="K9" i="1"/>
  <c r="J18" i="1"/>
  <c r="J108" i="1"/>
  <c r="J109" i="1"/>
  <c r="J110" i="1"/>
  <c r="J111" i="1"/>
  <c r="J112" i="1"/>
  <c r="J113" i="1"/>
  <c r="J114" i="1"/>
  <c r="J115" i="1"/>
  <c r="J116" i="1"/>
  <c r="J117" i="1"/>
  <c r="J19" i="1"/>
  <c r="J118" i="1"/>
  <c r="J119" i="1"/>
  <c r="J120" i="1"/>
  <c r="J121" i="1"/>
  <c r="J122" i="1"/>
  <c r="J123" i="1"/>
  <c r="J124" i="1"/>
  <c r="J125" i="1"/>
  <c r="J126" i="1"/>
  <c r="J127" i="1"/>
  <c r="J20" i="1"/>
  <c r="J128" i="1"/>
  <c r="J129" i="1"/>
  <c r="J130" i="1"/>
  <c r="J131" i="1"/>
  <c r="J132" i="1"/>
  <c r="J133" i="1"/>
  <c r="J134" i="1"/>
  <c r="J135" i="1"/>
  <c r="J136" i="1"/>
  <c r="J137" i="1"/>
  <c r="J21" i="1"/>
  <c r="J138" i="1"/>
  <c r="J139" i="1"/>
  <c r="J140" i="1"/>
  <c r="J141" i="1"/>
  <c r="J142" i="1"/>
  <c r="J143" i="1"/>
  <c r="J144" i="1"/>
  <c r="J145" i="1"/>
  <c r="J146" i="1"/>
  <c r="J147" i="1"/>
  <c r="J22" i="1"/>
  <c r="J148" i="1"/>
  <c r="J149" i="1"/>
  <c r="J150" i="1"/>
  <c r="J151" i="1"/>
  <c r="J152" i="1"/>
  <c r="J153" i="1"/>
  <c r="J154" i="1"/>
  <c r="J155" i="1"/>
  <c r="J156" i="1"/>
  <c r="J157" i="1"/>
  <c r="J23" i="1"/>
  <c r="J158" i="1"/>
  <c r="J159" i="1"/>
  <c r="J160" i="1"/>
  <c r="J161" i="1"/>
  <c r="J162" i="1"/>
  <c r="J163" i="1"/>
  <c r="J164" i="1"/>
  <c r="J165" i="1"/>
  <c r="J166" i="1"/>
  <c r="J167" i="1"/>
  <c r="J24" i="1"/>
  <c r="J168" i="1"/>
  <c r="J169" i="1"/>
  <c r="J170" i="1"/>
  <c r="J171" i="1"/>
  <c r="J172" i="1"/>
  <c r="J173" i="1"/>
  <c r="J174" i="1"/>
  <c r="J175" i="1"/>
  <c r="J176" i="1"/>
  <c r="J177" i="1"/>
  <c r="J25" i="1"/>
  <c r="J178" i="1"/>
  <c r="J179" i="1"/>
  <c r="J180" i="1"/>
  <c r="J181" i="1"/>
  <c r="J182" i="1"/>
  <c r="J183" i="1"/>
  <c r="J184" i="1"/>
  <c r="J185" i="1"/>
  <c r="J186" i="1"/>
  <c r="J187" i="1"/>
  <c r="J26" i="1"/>
  <c r="J188" i="1"/>
  <c r="J189" i="1"/>
  <c r="J190" i="1"/>
  <c r="J191" i="1"/>
  <c r="J192" i="1"/>
  <c r="J193" i="1"/>
  <c r="J194" i="1"/>
  <c r="J195" i="1"/>
  <c r="J196" i="1"/>
  <c r="J197" i="1"/>
  <c r="J27" i="1"/>
  <c r="J198" i="1"/>
  <c r="J199" i="1"/>
  <c r="J200" i="1"/>
  <c r="J201" i="1"/>
  <c r="J202" i="1"/>
  <c r="J203" i="1"/>
  <c r="J204" i="1"/>
  <c r="J205" i="1"/>
  <c r="J206" i="1"/>
  <c r="J207" i="1"/>
  <c r="J10" i="1"/>
  <c r="J28" i="1"/>
  <c r="J208" i="1"/>
  <c r="J209" i="1"/>
  <c r="J210" i="1"/>
  <c r="J211" i="1"/>
  <c r="J212" i="1"/>
  <c r="J213" i="1"/>
  <c r="J214" i="1"/>
  <c r="J215" i="1"/>
  <c r="J216" i="1"/>
  <c r="J217" i="1"/>
  <c r="J29" i="1"/>
  <c r="J218" i="1"/>
  <c r="J219" i="1"/>
  <c r="J220" i="1"/>
  <c r="J221" i="1"/>
  <c r="J222" i="1"/>
  <c r="J223" i="1"/>
  <c r="J224" i="1"/>
  <c r="J225" i="1"/>
  <c r="J226" i="1"/>
  <c r="J227" i="1"/>
  <c r="J30" i="1"/>
  <c r="J228" i="1"/>
  <c r="J229" i="1"/>
  <c r="J230" i="1"/>
  <c r="J231" i="1"/>
  <c r="J232" i="1"/>
  <c r="J233" i="1"/>
  <c r="J234" i="1"/>
  <c r="J235" i="1"/>
  <c r="J236" i="1"/>
  <c r="J237" i="1"/>
  <c r="J31" i="1"/>
  <c r="J238" i="1"/>
  <c r="J239" i="1"/>
  <c r="J240" i="1"/>
  <c r="J241" i="1"/>
  <c r="J242" i="1"/>
  <c r="J243" i="1"/>
  <c r="J244" i="1"/>
  <c r="J245" i="1"/>
  <c r="J246" i="1"/>
  <c r="J247" i="1"/>
  <c r="J32" i="1"/>
  <c r="J248" i="1"/>
  <c r="J249" i="1"/>
  <c r="J250" i="1"/>
  <c r="J251" i="1"/>
  <c r="J252" i="1"/>
  <c r="J253" i="1"/>
  <c r="J254" i="1"/>
  <c r="J255" i="1"/>
  <c r="J256" i="1"/>
  <c r="J257" i="1"/>
  <c r="J33" i="1"/>
  <c r="J258" i="1"/>
  <c r="J259" i="1"/>
  <c r="J260" i="1"/>
  <c r="J261" i="1"/>
  <c r="J262" i="1"/>
  <c r="J263" i="1"/>
  <c r="J264" i="1"/>
  <c r="J265" i="1"/>
  <c r="J266" i="1"/>
  <c r="J267" i="1"/>
  <c r="J34" i="1"/>
  <c r="J268" i="1"/>
  <c r="J269" i="1"/>
  <c r="J270" i="1"/>
  <c r="J271" i="1"/>
  <c r="J272" i="1"/>
  <c r="J273" i="1"/>
  <c r="J274" i="1"/>
  <c r="J275" i="1"/>
  <c r="J276" i="1"/>
  <c r="J277" i="1"/>
  <c r="J35" i="1"/>
  <c r="J278" i="1"/>
  <c r="J279" i="1"/>
  <c r="J280" i="1"/>
  <c r="J281" i="1"/>
  <c r="J282" i="1"/>
  <c r="J283" i="1"/>
  <c r="J284" i="1"/>
  <c r="J285" i="1"/>
  <c r="J286" i="1"/>
  <c r="J287" i="1"/>
  <c r="J36" i="1"/>
  <c r="J288" i="1"/>
  <c r="J289" i="1"/>
  <c r="J290" i="1"/>
  <c r="J291" i="1"/>
  <c r="J292" i="1"/>
  <c r="J293" i="1"/>
  <c r="J294" i="1"/>
  <c r="J295" i="1"/>
  <c r="J296" i="1"/>
  <c r="J297" i="1"/>
  <c r="J37" i="1"/>
  <c r="J298" i="1"/>
  <c r="J299" i="1"/>
  <c r="J300" i="1"/>
  <c r="J301" i="1"/>
  <c r="J302" i="1"/>
  <c r="J303" i="1"/>
  <c r="J304" i="1"/>
  <c r="J305" i="1"/>
  <c r="J306" i="1"/>
  <c r="J307" i="1"/>
  <c r="J11" i="1"/>
  <c r="J38" i="1"/>
  <c r="J308" i="1"/>
  <c r="J309" i="1"/>
  <c r="J310" i="1"/>
  <c r="J311" i="1"/>
  <c r="J312" i="1"/>
  <c r="J313" i="1"/>
  <c r="J314" i="1"/>
  <c r="J315" i="1"/>
  <c r="J316" i="1"/>
  <c r="J317" i="1"/>
  <c r="J39" i="1"/>
  <c r="J318" i="1"/>
  <c r="J319" i="1"/>
  <c r="J320" i="1"/>
  <c r="J321" i="1"/>
  <c r="J322" i="1"/>
  <c r="J323" i="1"/>
  <c r="J324" i="1"/>
  <c r="J325" i="1"/>
  <c r="J326" i="1"/>
  <c r="J327" i="1"/>
  <c r="J40" i="1"/>
  <c r="J328" i="1"/>
  <c r="J329" i="1"/>
  <c r="J330" i="1"/>
  <c r="J331" i="1"/>
  <c r="J332" i="1"/>
  <c r="J333" i="1"/>
  <c r="J334" i="1"/>
  <c r="J335" i="1"/>
  <c r="J336" i="1"/>
  <c r="J337" i="1"/>
  <c r="J41" i="1"/>
  <c r="J338" i="1"/>
  <c r="J339" i="1"/>
  <c r="J340" i="1"/>
  <c r="J341" i="1"/>
  <c r="J342" i="1"/>
  <c r="J343" i="1"/>
  <c r="J344" i="1"/>
  <c r="J345" i="1"/>
  <c r="J346" i="1"/>
  <c r="J347" i="1"/>
  <c r="J42" i="1"/>
  <c r="J348" i="1"/>
  <c r="J349" i="1"/>
  <c r="J350" i="1"/>
  <c r="J351" i="1"/>
  <c r="J352" i="1"/>
  <c r="J353" i="1"/>
  <c r="J354" i="1"/>
  <c r="J355" i="1"/>
  <c r="J356" i="1"/>
  <c r="J357" i="1"/>
  <c r="J43" i="1"/>
  <c r="J358" i="1"/>
  <c r="J359" i="1"/>
  <c r="J360" i="1"/>
  <c r="J361" i="1"/>
  <c r="J362" i="1"/>
  <c r="J363" i="1"/>
  <c r="J364" i="1"/>
  <c r="J365" i="1"/>
  <c r="J366" i="1"/>
  <c r="J367" i="1"/>
  <c r="J44" i="1"/>
  <c r="J368" i="1"/>
  <c r="J369" i="1"/>
  <c r="J370" i="1"/>
  <c r="J371" i="1"/>
  <c r="J372" i="1"/>
  <c r="J373" i="1"/>
  <c r="J374" i="1"/>
  <c r="J375" i="1"/>
  <c r="J376" i="1"/>
  <c r="J377" i="1"/>
  <c r="J45" i="1"/>
  <c r="J378" i="1"/>
  <c r="J379" i="1"/>
  <c r="J380" i="1"/>
  <c r="J381" i="1"/>
  <c r="J382" i="1"/>
  <c r="J383" i="1"/>
  <c r="J384" i="1"/>
  <c r="J385" i="1"/>
  <c r="J386" i="1"/>
  <c r="J387" i="1"/>
  <c r="J46" i="1"/>
  <c r="J388" i="1"/>
  <c r="J389" i="1"/>
  <c r="J390" i="1"/>
  <c r="J391" i="1"/>
  <c r="J392" i="1"/>
  <c r="J393" i="1"/>
  <c r="J394" i="1"/>
  <c r="J395" i="1"/>
  <c r="J396" i="1"/>
  <c r="J397" i="1"/>
  <c r="J47" i="1"/>
  <c r="J398" i="1"/>
  <c r="J399" i="1"/>
  <c r="J400" i="1"/>
  <c r="J401" i="1"/>
  <c r="J402" i="1"/>
  <c r="J403" i="1"/>
  <c r="J404" i="1"/>
  <c r="J405" i="1"/>
  <c r="J406" i="1"/>
  <c r="J407" i="1"/>
  <c r="J12" i="1"/>
  <c r="J48" i="1"/>
  <c r="J408" i="1"/>
  <c r="J409" i="1"/>
  <c r="J410" i="1"/>
  <c r="J411" i="1"/>
  <c r="J412" i="1"/>
  <c r="J413" i="1"/>
  <c r="J414" i="1"/>
  <c r="J415" i="1"/>
  <c r="J416" i="1"/>
  <c r="J417" i="1"/>
  <c r="J49" i="1"/>
  <c r="J418" i="1"/>
  <c r="J419" i="1"/>
  <c r="J420" i="1"/>
  <c r="J421" i="1"/>
  <c r="J422" i="1"/>
  <c r="J423" i="1"/>
  <c r="J424" i="1"/>
  <c r="J425" i="1"/>
  <c r="J426" i="1"/>
  <c r="J427" i="1"/>
  <c r="J50" i="1"/>
  <c r="J428" i="1"/>
  <c r="J429" i="1"/>
  <c r="J430" i="1"/>
  <c r="J431" i="1"/>
  <c r="J432" i="1"/>
  <c r="J433" i="1"/>
  <c r="J434" i="1"/>
  <c r="J435" i="1"/>
  <c r="J436" i="1"/>
  <c r="J437" i="1"/>
  <c r="J51" i="1"/>
  <c r="J438" i="1"/>
  <c r="J439" i="1"/>
  <c r="J440" i="1"/>
  <c r="J441" i="1"/>
  <c r="J442" i="1"/>
  <c r="J443" i="1"/>
  <c r="J444" i="1"/>
  <c r="J445" i="1"/>
  <c r="J446" i="1"/>
  <c r="J447" i="1"/>
  <c r="J52" i="1"/>
  <c r="J448" i="1"/>
  <c r="J449" i="1"/>
  <c r="J450" i="1"/>
  <c r="J451" i="1"/>
  <c r="J452" i="1"/>
  <c r="J453" i="1"/>
  <c r="J454" i="1"/>
  <c r="J455" i="1"/>
  <c r="J456" i="1"/>
  <c r="J457" i="1"/>
  <c r="J53" i="1"/>
  <c r="J458" i="1"/>
  <c r="J459" i="1"/>
  <c r="J460" i="1"/>
  <c r="J461" i="1"/>
  <c r="J462" i="1"/>
  <c r="J463" i="1"/>
  <c r="J464" i="1"/>
  <c r="J465" i="1"/>
  <c r="J466" i="1"/>
  <c r="J467" i="1"/>
  <c r="J54" i="1"/>
  <c r="J468" i="1"/>
  <c r="J469" i="1"/>
  <c r="J470" i="1"/>
  <c r="J471" i="1"/>
  <c r="J472" i="1"/>
  <c r="J473" i="1"/>
  <c r="J474" i="1"/>
  <c r="J475" i="1"/>
  <c r="J476" i="1"/>
  <c r="J477" i="1"/>
  <c r="J55" i="1"/>
  <c r="J478" i="1"/>
  <c r="J479" i="1"/>
  <c r="J480" i="1"/>
  <c r="J481" i="1"/>
  <c r="J482" i="1"/>
  <c r="J483" i="1"/>
  <c r="J484" i="1"/>
  <c r="J485" i="1"/>
  <c r="J486" i="1"/>
  <c r="J487" i="1"/>
  <c r="J56" i="1"/>
  <c r="J488" i="1"/>
  <c r="J489" i="1"/>
  <c r="J490" i="1"/>
  <c r="J491" i="1"/>
  <c r="J492" i="1"/>
  <c r="J493" i="1"/>
  <c r="J494" i="1"/>
  <c r="J495" i="1"/>
  <c r="J496" i="1"/>
  <c r="J497" i="1"/>
  <c r="J57" i="1"/>
  <c r="J498" i="1"/>
  <c r="J499" i="1"/>
  <c r="J500" i="1"/>
  <c r="J501" i="1"/>
  <c r="J502" i="1"/>
  <c r="J503" i="1"/>
  <c r="J504" i="1"/>
  <c r="J505" i="1"/>
  <c r="J506" i="1"/>
  <c r="J507" i="1"/>
  <c r="J13" i="1"/>
  <c r="J58" i="1"/>
  <c r="J508" i="1"/>
  <c r="J509" i="1"/>
  <c r="J510" i="1"/>
  <c r="J511" i="1"/>
  <c r="J512" i="1"/>
  <c r="J513" i="1"/>
  <c r="J514" i="1"/>
  <c r="J515" i="1"/>
  <c r="J516" i="1"/>
  <c r="J517" i="1"/>
  <c r="J59" i="1"/>
  <c r="J518" i="1"/>
  <c r="J519" i="1"/>
  <c r="J520" i="1"/>
  <c r="J521" i="1"/>
  <c r="J522" i="1"/>
  <c r="J523" i="1"/>
  <c r="J524" i="1"/>
  <c r="J525" i="1"/>
  <c r="J526" i="1"/>
  <c r="J527" i="1"/>
  <c r="J60" i="1"/>
  <c r="J528" i="1"/>
  <c r="J529" i="1"/>
  <c r="J530" i="1"/>
  <c r="J531" i="1"/>
  <c r="J532" i="1"/>
  <c r="J533" i="1"/>
  <c r="J534" i="1"/>
  <c r="J535" i="1"/>
  <c r="J536" i="1"/>
  <c r="J537" i="1"/>
  <c r="J61" i="1"/>
  <c r="J538" i="1"/>
  <c r="J539" i="1"/>
  <c r="J540" i="1"/>
  <c r="J541" i="1"/>
  <c r="J542" i="1"/>
  <c r="J543" i="1"/>
  <c r="J544" i="1"/>
  <c r="J545" i="1"/>
  <c r="J546" i="1"/>
  <c r="J547" i="1"/>
  <c r="J62" i="1"/>
  <c r="J63" i="1"/>
  <c r="J64" i="1"/>
  <c r="J65" i="1"/>
  <c r="J66" i="1"/>
  <c r="J67" i="1"/>
  <c r="J14" i="1"/>
  <c r="J68" i="1"/>
  <c r="J69" i="1"/>
  <c r="J70" i="1"/>
  <c r="J71" i="1"/>
  <c r="J72" i="1"/>
  <c r="J73" i="1"/>
  <c r="J74" i="1"/>
  <c r="J75" i="1"/>
  <c r="J76" i="1"/>
  <c r="J77" i="1"/>
  <c r="J15" i="1"/>
  <c r="J78" i="1"/>
  <c r="J79" i="1"/>
  <c r="J80" i="1"/>
  <c r="J81" i="1"/>
  <c r="J82" i="1"/>
  <c r="J83" i="1"/>
  <c r="J84" i="1"/>
  <c r="J85" i="1"/>
  <c r="J86" i="1"/>
  <c r="J87" i="1"/>
  <c r="J16" i="1"/>
  <c r="J88" i="1"/>
  <c r="J89" i="1"/>
  <c r="J90" i="1"/>
  <c r="J91" i="1"/>
  <c r="J92" i="1"/>
  <c r="J93" i="1"/>
  <c r="J94" i="1"/>
  <c r="J95" i="1"/>
  <c r="J96" i="1"/>
  <c r="J97" i="1"/>
  <c r="J17" i="1"/>
  <c r="J98" i="1"/>
  <c r="J99" i="1"/>
  <c r="J100" i="1"/>
  <c r="J101" i="1"/>
  <c r="J102" i="1"/>
  <c r="J103" i="1"/>
  <c r="J104" i="1"/>
  <c r="J105" i="1"/>
  <c r="J106" i="1"/>
  <c r="J107" i="1"/>
  <c r="J9" i="1"/>
  <c r="I18" i="1"/>
  <c r="I108" i="1"/>
  <c r="I109" i="1"/>
  <c r="I110" i="1"/>
  <c r="I111" i="1"/>
  <c r="I112" i="1"/>
  <c r="I113" i="1"/>
  <c r="I114" i="1"/>
  <c r="I115" i="1"/>
  <c r="I116" i="1"/>
  <c r="I117" i="1"/>
  <c r="I19" i="1"/>
  <c r="I118" i="1"/>
  <c r="I119" i="1"/>
  <c r="I120" i="1"/>
  <c r="I121" i="1"/>
  <c r="I122" i="1"/>
  <c r="I123" i="1"/>
  <c r="I124" i="1"/>
  <c r="I125" i="1"/>
  <c r="I126" i="1"/>
  <c r="I127" i="1"/>
  <c r="I20" i="1"/>
  <c r="I128" i="1"/>
  <c r="I129" i="1"/>
  <c r="I130" i="1"/>
  <c r="I131" i="1"/>
  <c r="I132" i="1"/>
  <c r="I133" i="1"/>
  <c r="I134" i="1"/>
  <c r="I135" i="1"/>
  <c r="I136" i="1"/>
  <c r="I137" i="1"/>
  <c r="I21" i="1"/>
  <c r="I138" i="1"/>
  <c r="I139" i="1"/>
  <c r="I140" i="1"/>
  <c r="I141" i="1"/>
  <c r="I142" i="1"/>
  <c r="I143" i="1"/>
  <c r="I144" i="1"/>
  <c r="I145" i="1"/>
  <c r="I146" i="1"/>
  <c r="I147" i="1"/>
  <c r="I22" i="1"/>
  <c r="I148" i="1"/>
  <c r="I149" i="1"/>
  <c r="I150" i="1"/>
  <c r="I151" i="1"/>
  <c r="I152" i="1"/>
  <c r="I153" i="1"/>
  <c r="I154" i="1"/>
  <c r="I155" i="1"/>
  <c r="I156" i="1"/>
  <c r="I157" i="1"/>
  <c r="I23" i="1"/>
  <c r="I158" i="1"/>
  <c r="I159" i="1"/>
  <c r="I160" i="1"/>
  <c r="I161" i="1"/>
  <c r="I162" i="1"/>
  <c r="I163" i="1"/>
  <c r="I164" i="1"/>
  <c r="I165" i="1"/>
  <c r="I166" i="1"/>
  <c r="I167" i="1"/>
  <c r="I24" i="1"/>
  <c r="I168" i="1"/>
  <c r="I169" i="1"/>
  <c r="I170" i="1"/>
  <c r="I171" i="1"/>
  <c r="I172" i="1"/>
  <c r="I173" i="1"/>
  <c r="I174" i="1"/>
  <c r="I175" i="1"/>
  <c r="I176" i="1"/>
  <c r="I177" i="1"/>
  <c r="I25" i="1"/>
  <c r="I178" i="1"/>
  <c r="I179" i="1"/>
  <c r="I180" i="1"/>
  <c r="I181" i="1"/>
  <c r="I182" i="1"/>
  <c r="I183" i="1"/>
  <c r="I184" i="1"/>
  <c r="I185" i="1"/>
  <c r="I186" i="1"/>
  <c r="I187" i="1"/>
  <c r="I26" i="1"/>
  <c r="I188" i="1"/>
  <c r="I189" i="1"/>
  <c r="I190" i="1"/>
  <c r="I191" i="1"/>
  <c r="I192" i="1"/>
  <c r="I193" i="1"/>
  <c r="I194" i="1"/>
  <c r="I195" i="1"/>
  <c r="I196" i="1"/>
  <c r="I197" i="1"/>
  <c r="I27" i="1"/>
  <c r="I198" i="1"/>
  <c r="I199" i="1"/>
  <c r="I200" i="1"/>
  <c r="I201" i="1"/>
  <c r="I202" i="1"/>
  <c r="I203" i="1"/>
  <c r="I204" i="1"/>
  <c r="I205" i="1"/>
  <c r="I206" i="1"/>
  <c r="I207" i="1"/>
  <c r="I10" i="1"/>
  <c r="I28" i="1"/>
  <c r="I208" i="1"/>
  <c r="I209" i="1"/>
  <c r="I210" i="1"/>
  <c r="I211" i="1"/>
  <c r="I212" i="1"/>
  <c r="I213" i="1"/>
  <c r="I214" i="1"/>
  <c r="I215" i="1"/>
  <c r="I216" i="1"/>
  <c r="I217" i="1"/>
  <c r="I29" i="1"/>
  <c r="I218" i="1"/>
  <c r="I219" i="1"/>
  <c r="I220" i="1"/>
  <c r="I221" i="1"/>
  <c r="I222" i="1"/>
  <c r="I223" i="1"/>
  <c r="I224" i="1"/>
  <c r="I225" i="1"/>
  <c r="I226" i="1"/>
  <c r="I227" i="1"/>
  <c r="I30" i="1"/>
  <c r="I228" i="1"/>
  <c r="I229" i="1"/>
  <c r="I230" i="1"/>
  <c r="I231" i="1"/>
  <c r="I232" i="1"/>
  <c r="I233" i="1"/>
  <c r="I234" i="1"/>
  <c r="I235" i="1"/>
  <c r="I236" i="1"/>
  <c r="I237" i="1"/>
  <c r="I31" i="1"/>
  <c r="I238" i="1"/>
  <c r="I239" i="1"/>
  <c r="I240" i="1"/>
  <c r="I241" i="1"/>
  <c r="I242" i="1"/>
  <c r="I243" i="1"/>
  <c r="I244" i="1"/>
  <c r="I245" i="1"/>
  <c r="I246" i="1"/>
  <c r="I247" i="1"/>
  <c r="I32" i="1"/>
  <c r="I248" i="1"/>
  <c r="I249" i="1"/>
  <c r="I250" i="1"/>
  <c r="I251" i="1"/>
  <c r="I252" i="1"/>
  <c r="I253" i="1"/>
  <c r="I254" i="1"/>
  <c r="I255" i="1"/>
  <c r="I256" i="1"/>
  <c r="I257" i="1"/>
  <c r="I33" i="1"/>
  <c r="I258" i="1"/>
  <c r="I259" i="1"/>
  <c r="I260" i="1"/>
  <c r="I261" i="1"/>
  <c r="I262" i="1"/>
  <c r="I263" i="1"/>
  <c r="I264" i="1"/>
  <c r="I265" i="1"/>
  <c r="I266" i="1"/>
  <c r="I267" i="1"/>
  <c r="I34" i="1"/>
  <c r="I268" i="1"/>
  <c r="I269" i="1"/>
  <c r="I270" i="1"/>
  <c r="I271" i="1"/>
  <c r="I272" i="1"/>
  <c r="I273" i="1"/>
  <c r="I274" i="1"/>
  <c r="I275" i="1"/>
  <c r="I276" i="1"/>
  <c r="I277" i="1"/>
  <c r="I35" i="1"/>
  <c r="I278" i="1"/>
  <c r="I279" i="1"/>
  <c r="I280" i="1"/>
  <c r="I281" i="1"/>
  <c r="I282" i="1"/>
  <c r="I283" i="1"/>
  <c r="I284" i="1"/>
  <c r="I285" i="1"/>
  <c r="I286" i="1"/>
  <c r="I287" i="1"/>
  <c r="I36" i="1"/>
  <c r="I288" i="1"/>
  <c r="I289" i="1"/>
  <c r="I290" i="1"/>
  <c r="I291" i="1"/>
  <c r="I292" i="1"/>
  <c r="I293" i="1"/>
  <c r="I294" i="1"/>
  <c r="I295" i="1"/>
  <c r="I296" i="1"/>
  <c r="I297" i="1"/>
  <c r="I37" i="1"/>
  <c r="I298" i="1"/>
  <c r="I299" i="1"/>
  <c r="I300" i="1"/>
  <c r="I301" i="1"/>
  <c r="I302" i="1"/>
  <c r="I303" i="1"/>
  <c r="I304" i="1"/>
  <c r="I305" i="1"/>
  <c r="I306" i="1"/>
  <c r="I307" i="1"/>
  <c r="I11" i="1"/>
  <c r="I38" i="1"/>
  <c r="I308" i="1"/>
  <c r="I309" i="1"/>
  <c r="I310" i="1"/>
  <c r="I311" i="1"/>
  <c r="I312" i="1"/>
  <c r="I313" i="1"/>
  <c r="I314" i="1"/>
  <c r="I315" i="1"/>
  <c r="I316" i="1"/>
  <c r="I317" i="1"/>
  <c r="I39" i="1"/>
  <c r="I318" i="1"/>
  <c r="I319" i="1"/>
  <c r="I320" i="1"/>
  <c r="I321" i="1"/>
  <c r="I322" i="1"/>
  <c r="I323" i="1"/>
  <c r="I324" i="1"/>
  <c r="I325" i="1"/>
  <c r="I326" i="1"/>
  <c r="I327" i="1"/>
  <c r="I40" i="1"/>
  <c r="I328" i="1"/>
  <c r="I329" i="1"/>
  <c r="I330" i="1"/>
  <c r="I331" i="1"/>
  <c r="I332" i="1"/>
  <c r="I333" i="1"/>
  <c r="I334" i="1"/>
  <c r="I335" i="1"/>
  <c r="I336" i="1"/>
  <c r="I337" i="1"/>
  <c r="I41" i="1"/>
  <c r="I338" i="1"/>
  <c r="I339" i="1"/>
  <c r="I340" i="1"/>
  <c r="I341" i="1"/>
  <c r="I342" i="1"/>
  <c r="I343" i="1"/>
  <c r="I344" i="1"/>
  <c r="I345" i="1"/>
  <c r="I346" i="1"/>
  <c r="I347" i="1"/>
  <c r="I42" i="1"/>
  <c r="I348" i="1"/>
  <c r="I349" i="1"/>
  <c r="I350" i="1"/>
  <c r="I351" i="1"/>
  <c r="I352" i="1"/>
  <c r="I353" i="1"/>
  <c r="I354" i="1"/>
  <c r="I355" i="1"/>
  <c r="I356" i="1"/>
  <c r="I357" i="1"/>
  <c r="I43" i="1"/>
  <c r="I358" i="1"/>
  <c r="I359" i="1"/>
  <c r="I360" i="1"/>
  <c r="I361" i="1"/>
  <c r="I362" i="1"/>
  <c r="I363" i="1"/>
  <c r="I364" i="1"/>
  <c r="I365" i="1"/>
  <c r="I366" i="1"/>
  <c r="I367" i="1"/>
  <c r="I44" i="1"/>
  <c r="I368" i="1"/>
  <c r="I369" i="1"/>
  <c r="I370" i="1"/>
  <c r="I371" i="1"/>
  <c r="I372" i="1"/>
  <c r="I373" i="1"/>
  <c r="I374" i="1"/>
  <c r="I375" i="1"/>
  <c r="I376" i="1"/>
  <c r="I377" i="1"/>
  <c r="I45" i="1"/>
  <c r="I378" i="1"/>
  <c r="I379" i="1"/>
  <c r="I380" i="1"/>
  <c r="I381" i="1"/>
  <c r="I382" i="1"/>
  <c r="I383" i="1"/>
  <c r="I384" i="1"/>
  <c r="I385" i="1"/>
  <c r="I386" i="1"/>
  <c r="I387" i="1"/>
  <c r="I46" i="1"/>
  <c r="I388" i="1"/>
  <c r="I389" i="1"/>
  <c r="I390" i="1"/>
  <c r="I391" i="1"/>
  <c r="I392" i="1"/>
  <c r="I393" i="1"/>
  <c r="I394" i="1"/>
  <c r="I395" i="1"/>
  <c r="I396" i="1"/>
  <c r="I397" i="1"/>
  <c r="I47" i="1"/>
  <c r="I398" i="1"/>
  <c r="I399" i="1"/>
  <c r="I400" i="1"/>
  <c r="I401" i="1"/>
  <c r="I402" i="1"/>
  <c r="I403" i="1"/>
  <c r="I404" i="1"/>
  <c r="I405" i="1"/>
  <c r="I406" i="1"/>
  <c r="I407" i="1"/>
  <c r="I12" i="1"/>
  <c r="I48" i="1"/>
  <c r="I408" i="1"/>
  <c r="I409" i="1"/>
  <c r="I410" i="1"/>
  <c r="I411" i="1"/>
  <c r="I412" i="1"/>
  <c r="I413" i="1"/>
  <c r="I414" i="1"/>
  <c r="I415" i="1"/>
  <c r="I416" i="1"/>
  <c r="I417" i="1"/>
  <c r="I49" i="1"/>
  <c r="I418" i="1"/>
  <c r="I419" i="1"/>
  <c r="I420" i="1"/>
  <c r="I421" i="1"/>
  <c r="I422" i="1"/>
  <c r="I423" i="1"/>
  <c r="I424" i="1"/>
  <c r="I425" i="1"/>
  <c r="I426" i="1"/>
  <c r="I427" i="1"/>
  <c r="I50" i="1"/>
  <c r="I428" i="1"/>
  <c r="I429" i="1"/>
  <c r="I430" i="1"/>
  <c r="I431" i="1"/>
  <c r="I432" i="1"/>
  <c r="I433" i="1"/>
  <c r="I434" i="1"/>
  <c r="I435" i="1"/>
  <c r="I436" i="1"/>
  <c r="I437" i="1"/>
  <c r="I51" i="1"/>
  <c r="I438" i="1"/>
  <c r="I439" i="1"/>
  <c r="I440" i="1"/>
  <c r="I441" i="1"/>
  <c r="I442" i="1"/>
  <c r="I443" i="1"/>
  <c r="I444" i="1"/>
  <c r="I445" i="1"/>
  <c r="I446" i="1"/>
  <c r="I447" i="1"/>
  <c r="I52" i="1"/>
  <c r="I448" i="1"/>
  <c r="I449" i="1"/>
  <c r="I450" i="1"/>
  <c r="I451" i="1"/>
  <c r="I452" i="1"/>
  <c r="I453" i="1"/>
  <c r="I454" i="1"/>
  <c r="I455" i="1"/>
  <c r="I456" i="1"/>
  <c r="I457" i="1"/>
  <c r="I53" i="1"/>
  <c r="I458" i="1"/>
  <c r="I459" i="1"/>
  <c r="I460" i="1"/>
  <c r="I461" i="1"/>
  <c r="I462" i="1"/>
  <c r="I463" i="1"/>
  <c r="I464" i="1"/>
  <c r="I465" i="1"/>
  <c r="I466" i="1"/>
  <c r="I467" i="1"/>
  <c r="I54" i="1"/>
  <c r="I468" i="1"/>
  <c r="I469" i="1"/>
  <c r="I470" i="1"/>
  <c r="I471" i="1"/>
  <c r="I472" i="1"/>
  <c r="I473" i="1"/>
  <c r="I474" i="1"/>
  <c r="I475" i="1"/>
  <c r="I476" i="1"/>
  <c r="I477" i="1"/>
  <c r="I55" i="1"/>
  <c r="I478" i="1"/>
  <c r="I479" i="1"/>
  <c r="I480" i="1"/>
  <c r="I481" i="1"/>
  <c r="I482" i="1"/>
  <c r="I483" i="1"/>
  <c r="I484" i="1"/>
  <c r="I485" i="1"/>
  <c r="I486" i="1"/>
  <c r="I487" i="1"/>
  <c r="I56" i="1"/>
  <c r="I488" i="1"/>
  <c r="I489" i="1"/>
  <c r="I490" i="1"/>
  <c r="I491" i="1"/>
  <c r="I492" i="1"/>
  <c r="I493" i="1"/>
  <c r="I494" i="1"/>
  <c r="I495" i="1"/>
  <c r="I496" i="1"/>
  <c r="I497" i="1"/>
  <c r="I57" i="1"/>
  <c r="I498" i="1"/>
  <c r="I499" i="1"/>
  <c r="I500" i="1"/>
  <c r="I501" i="1"/>
  <c r="I502" i="1"/>
  <c r="I503" i="1"/>
  <c r="I504" i="1"/>
  <c r="I505" i="1"/>
  <c r="I506" i="1"/>
  <c r="I507" i="1"/>
  <c r="I13" i="1"/>
  <c r="I58" i="1"/>
  <c r="I508" i="1"/>
  <c r="I509" i="1"/>
  <c r="I510" i="1"/>
  <c r="I511" i="1"/>
  <c r="I512" i="1"/>
  <c r="I513" i="1"/>
  <c r="I514" i="1"/>
  <c r="I515" i="1"/>
  <c r="I516" i="1"/>
  <c r="I517" i="1"/>
  <c r="I59" i="1"/>
  <c r="I518" i="1"/>
  <c r="I519" i="1"/>
  <c r="I520" i="1"/>
  <c r="I521" i="1"/>
  <c r="I522" i="1"/>
  <c r="I523" i="1"/>
  <c r="I524" i="1"/>
  <c r="I525" i="1"/>
  <c r="I526" i="1"/>
  <c r="I527" i="1"/>
  <c r="I60" i="1"/>
  <c r="I528" i="1"/>
  <c r="I529" i="1"/>
  <c r="I530" i="1"/>
  <c r="I531" i="1"/>
  <c r="I532" i="1"/>
  <c r="I533" i="1"/>
  <c r="I534" i="1"/>
  <c r="I535" i="1"/>
  <c r="I536" i="1"/>
  <c r="I537" i="1"/>
  <c r="I61" i="1"/>
  <c r="I538" i="1"/>
  <c r="I539" i="1"/>
  <c r="I540" i="1"/>
  <c r="I541" i="1"/>
  <c r="I542" i="1"/>
  <c r="I543" i="1"/>
  <c r="I544" i="1"/>
  <c r="I545" i="1"/>
  <c r="I546" i="1"/>
  <c r="I547" i="1"/>
  <c r="I62" i="1"/>
  <c r="I63" i="1"/>
  <c r="I64" i="1"/>
  <c r="I65" i="1"/>
  <c r="I66" i="1"/>
  <c r="I67" i="1"/>
  <c r="I14" i="1"/>
  <c r="I68" i="1"/>
  <c r="I69" i="1"/>
  <c r="I70" i="1"/>
  <c r="I71" i="1"/>
  <c r="I72" i="1"/>
  <c r="I73" i="1"/>
  <c r="I74" i="1"/>
  <c r="I75" i="1"/>
  <c r="I76" i="1"/>
  <c r="I77" i="1"/>
  <c r="I15" i="1"/>
  <c r="I78" i="1"/>
  <c r="I79" i="1"/>
  <c r="I80" i="1"/>
  <c r="I81" i="1"/>
  <c r="I82" i="1"/>
  <c r="I83" i="1"/>
  <c r="I84" i="1"/>
  <c r="I85" i="1"/>
  <c r="I86" i="1"/>
  <c r="I87" i="1"/>
  <c r="I16" i="1"/>
  <c r="I88" i="1"/>
  <c r="I89" i="1"/>
  <c r="I90" i="1"/>
  <c r="I91" i="1"/>
  <c r="I92" i="1"/>
  <c r="I93" i="1"/>
  <c r="I94" i="1"/>
  <c r="I95" i="1"/>
  <c r="I96" i="1"/>
  <c r="I97" i="1"/>
  <c r="I17" i="1"/>
  <c r="I98" i="1"/>
  <c r="I99" i="1"/>
  <c r="I100" i="1"/>
  <c r="I101" i="1"/>
  <c r="I102" i="1"/>
  <c r="I103" i="1"/>
  <c r="I104" i="1"/>
  <c r="I105" i="1"/>
  <c r="I106" i="1"/>
  <c r="I107" i="1"/>
  <c r="I9" i="1"/>
  <c r="H18" i="1"/>
  <c r="H108" i="1"/>
  <c r="H109" i="1"/>
  <c r="H110" i="1"/>
  <c r="H111" i="1"/>
  <c r="H112" i="1"/>
  <c r="H113" i="1"/>
  <c r="H114" i="1"/>
  <c r="H115" i="1"/>
  <c r="H116" i="1"/>
  <c r="H117" i="1"/>
  <c r="H19" i="1"/>
  <c r="H118" i="1"/>
  <c r="H119" i="1"/>
  <c r="H120" i="1"/>
  <c r="H121" i="1"/>
  <c r="H122" i="1"/>
  <c r="H123" i="1"/>
  <c r="H124" i="1"/>
  <c r="H125" i="1"/>
  <c r="H126" i="1"/>
  <c r="H127" i="1"/>
  <c r="H20" i="1"/>
  <c r="H128" i="1"/>
  <c r="H129" i="1"/>
  <c r="H130" i="1"/>
  <c r="H131" i="1"/>
  <c r="H132" i="1"/>
  <c r="H133" i="1"/>
  <c r="H134" i="1"/>
  <c r="H135" i="1"/>
  <c r="H136" i="1"/>
  <c r="H137" i="1"/>
  <c r="H21" i="1"/>
  <c r="H138" i="1"/>
  <c r="H139" i="1"/>
  <c r="H140" i="1"/>
  <c r="H141" i="1"/>
  <c r="H142" i="1"/>
  <c r="H143" i="1"/>
  <c r="H144" i="1"/>
  <c r="H145" i="1"/>
  <c r="H146" i="1"/>
  <c r="H147" i="1"/>
  <c r="H22" i="1"/>
  <c r="H148" i="1"/>
  <c r="H149" i="1"/>
  <c r="H150" i="1"/>
  <c r="H151" i="1"/>
  <c r="H152" i="1"/>
  <c r="H153" i="1"/>
  <c r="H154" i="1"/>
  <c r="H155" i="1"/>
  <c r="H156" i="1"/>
  <c r="H157" i="1"/>
  <c r="H23" i="1"/>
  <c r="H158" i="1"/>
  <c r="H159" i="1"/>
  <c r="H160" i="1"/>
  <c r="H161" i="1"/>
  <c r="H162" i="1"/>
  <c r="H163" i="1"/>
  <c r="H164" i="1"/>
  <c r="H165" i="1"/>
  <c r="H166" i="1"/>
  <c r="H167" i="1"/>
  <c r="H24" i="1"/>
  <c r="H168" i="1"/>
  <c r="H169" i="1"/>
  <c r="H170" i="1"/>
  <c r="H171" i="1"/>
  <c r="H172" i="1"/>
  <c r="H173" i="1"/>
  <c r="H174" i="1"/>
  <c r="H175" i="1"/>
  <c r="H176" i="1"/>
  <c r="H177" i="1"/>
  <c r="H25" i="1"/>
  <c r="H178" i="1"/>
  <c r="H179" i="1"/>
  <c r="H180" i="1"/>
  <c r="H181" i="1"/>
  <c r="H182" i="1"/>
  <c r="H183" i="1"/>
  <c r="H184" i="1"/>
  <c r="H185" i="1"/>
  <c r="H186" i="1"/>
  <c r="H187" i="1"/>
  <c r="H26" i="1"/>
  <c r="H188" i="1"/>
  <c r="H189" i="1"/>
  <c r="H190" i="1"/>
  <c r="H191" i="1"/>
  <c r="H192" i="1"/>
  <c r="H193" i="1"/>
  <c r="H194" i="1"/>
  <c r="H195" i="1"/>
  <c r="H196" i="1"/>
  <c r="H197" i="1"/>
  <c r="H27" i="1"/>
  <c r="H198" i="1"/>
  <c r="H199" i="1"/>
  <c r="H200" i="1"/>
  <c r="H201" i="1"/>
  <c r="H202" i="1"/>
  <c r="H203" i="1"/>
  <c r="H204" i="1"/>
  <c r="H205" i="1"/>
  <c r="H206" i="1"/>
  <c r="H207" i="1"/>
  <c r="H10" i="1"/>
  <c r="H28" i="1"/>
  <c r="H208" i="1"/>
  <c r="H209" i="1"/>
  <c r="H210" i="1"/>
  <c r="H211" i="1"/>
  <c r="H212" i="1"/>
  <c r="H213" i="1"/>
  <c r="H214" i="1"/>
  <c r="H215" i="1"/>
  <c r="H216" i="1"/>
  <c r="H217" i="1"/>
  <c r="H29" i="1"/>
  <c r="H218" i="1"/>
  <c r="H219" i="1"/>
  <c r="H220" i="1"/>
  <c r="H221" i="1"/>
  <c r="H222" i="1"/>
  <c r="H223" i="1"/>
  <c r="H224" i="1"/>
  <c r="H225" i="1"/>
  <c r="H226" i="1"/>
  <c r="H227" i="1"/>
  <c r="H30" i="1"/>
  <c r="H228" i="1"/>
  <c r="H229" i="1"/>
  <c r="H230" i="1"/>
  <c r="H231" i="1"/>
  <c r="H232" i="1"/>
  <c r="H233" i="1"/>
  <c r="H234" i="1"/>
  <c r="H235" i="1"/>
  <c r="H236" i="1"/>
  <c r="H237" i="1"/>
  <c r="H31" i="1"/>
  <c r="H238" i="1"/>
  <c r="H239" i="1"/>
  <c r="H240" i="1"/>
  <c r="H241" i="1"/>
  <c r="H242" i="1"/>
  <c r="H243" i="1"/>
  <c r="H244" i="1"/>
  <c r="H245" i="1"/>
  <c r="H246" i="1"/>
  <c r="H247" i="1"/>
  <c r="H32" i="1"/>
  <c r="H248" i="1"/>
  <c r="H249" i="1"/>
  <c r="H250" i="1"/>
  <c r="H251" i="1"/>
  <c r="H252" i="1"/>
  <c r="H253" i="1"/>
  <c r="H254" i="1"/>
  <c r="H255" i="1"/>
  <c r="H256" i="1"/>
  <c r="H257" i="1"/>
  <c r="H33" i="1"/>
  <c r="H258" i="1"/>
  <c r="H259" i="1"/>
  <c r="H260" i="1"/>
  <c r="H261" i="1"/>
  <c r="H262" i="1"/>
  <c r="H263" i="1"/>
  <c r="H264" i="1"/>
  <c r="H265" i="1"/>
  <c r="H266" i="1"/>
  <c r="H267" i="1"/>
  <c r="H34" i="1"/>
  <c r="H268" i="1"/>
  <c r="H269" i="1"/>
  <c r="H270" i="1"/>
  <c r="H271" i="1"/>
  <c r="H272" i="1"/>
  <c r="H273" i="1"/>
  <c r="H274" i="1"/>
  <c r="H275" i="1"/>
  <c r="H276" i="1"/>
  <c r="H277" i="1"/>
  <c r="H35" i="1"/>
  <c r="H278" i="1"/>
  <c r="H279" i="1"/>
  <c r="H280" i="1"/>
  <c r="H281" i="1"/>
  <c r="H282" i="1"/>
  <c r="H283" i="1"/>
  <c r="H284" i="1"/>
  <c r="H285" i="1"/>
  <c r="H286" i="1"/>
  <c r="H287" i="1"/>
  <c r="H36" i="1"/>
  <c r="H288" i="1"/>
  <c r="H289" i="1"/>
  <c r="H290" i="1"/>
  <c r="H291" i="1"/>
  <c r="H292" i="1"/>
  <c r="H293" i="1"/>
  <c r="H294" i="1"/>
  <c r="H295" i="1"/>
  <c r="H296" i="1"/>
  <c r="H297" i="1"/>
  <c r="H37" i="1"/>
  <c r="H298" i="1"/>
  <c r="H299" i="1"/>
  <c r="H300" i="1"/>
  <c r="H301" i="1"/>
  <c r="H302" i="1"/>
  <c r="H303" i="1"/>
  <c r="H304" i="1"/>
  <c r="H305" i="1"/>
  <c r="H306" i="1"/>
  <c r="H307" i="1"/>
  <c r="H11" i="1"/>
  <c r="H38" i="1"/>
  <c r="H308" i="1"/>
  <c r="H309" i="1"/>
  <c r="H310" i="1"/>
  <c r="H311" i="1"/>
  <c r="H312" i="1"/>
  <c r="H313" i="1"/>
  <c r="H314" i="1"/>
  <c r="H315" i="1"/>
  <c r="H316" i="1"/>
  <c r="H317" i="1"/>
  <c r="H39" i="1"/>
  <c r="H318" i="1"/>
  <c r="H319" i="1"/>
  <c r="H320" i="1"/>
  <c r="H321" i="1"/>
  <c r="H322" i="1"/>
  <c r="H323" i="1"/>
  <c r="H324" i="1"/>
  <c r="H325" i="1"/>
  <c r="H326" i="1"/>
  <c r="H327" i="1"/>
  <c r="H40" i="1"/>
  <c r="H328" i="1"/>
  <c r="H329" i="1"/>
  <c r="H330" i="1"/>
  <c r="H331" i="1"/>
  <c r="H332" i="1"/>
  <c r="H333" i="1"/>
  <c r="H334" i="1"/>
  <c r="H335" i="1"/>
  <c r="H336" i="1"/>
  <c r="H337" i="1"/>
  <c r="H41" i="1"/>
  <c r="H338" i="1"/>
  <c r="H339" i="1"/>
  <c r="H340" i="1"/>
  <c r="H341" i="1"/>
  <c r="H342" i="1"/>
  <c r="H343" i="1"/>
  <c r="H344" i="1"/>
  <c r="H345" i="1"/>
  <c r="H346" i="1"/>
  <c r="H347" i="1"/>
  <c r="H42" i="1"/>
  <c r="H348" i="1"/>
  <c r="H349" i="1"/>
  <c r="H350" i="1"/>
  <c r="H351" i="1"/>
  <c r="H352" i="1"/>
  <c r="H353" i="1"/>
  <c r="H354" i="1"/>
  <c r="H355" i="1"/>
  <c r="H356" i="1"/>
  <c r="H357" i="1"/>
  <c r="H43" i="1"/>
  <c r="H358" i="1"/>
  <c r="H359" i="1"/>
  <c r="H360" i="1"/>
  <c r="H361" i="1"/>
  <c r="H362" i="1"/>
  <c r="H363" i="1"/>
  <c r="H364" i="1"/>
  <c r="H365" i="1"/>
  <c r="H366" i="1"/>
  <c r="H367" i="1"/>
  <c r="H44" i="1"/>
  <c r="H368" i="1"/>
  <c r="H369" i="1"/>
  <c r="H370" i="1"/>
  <c r="H371" i="1"/>
  <c r="H372" i="1"/>
  <c r="H373" i="1"/>
  <c r="H374" i="1"/>
  <c r="H375" i="1"/>
  <c r="H376" i="1"/>
  <c r="H377" i="1"/>
  <c r="H45" i="1"/>
  <c r="H378" i="1"/>
  <c r="H379" i="1"/>
  <c r="H380" i="1"/>
  <c r="H381" i="1"/>
  <c r="H382" i="1"/>
  <c r="H383" i="1"/>
  <c r="H384" i="1"/>
  <c r="H385" i="1"/>
  <c r="H386" i="1"/>
  <c r="H387" i="1"/>
  <c r="H46" i="1"/>
  <c r="H388" i="1"/>
  <c r="H389" i="1"/>
  <c r="H390" i="1"/>
  <c r="H391" i="1"/>
  <c r="H392" i="1"/>
  <c r="H393" i="1"/>
  <c r="H394" i="1"/>
  <c r="H395" i="1"/>
  <c r="H396" i="1"/>
  <c r="H397" i="1"/>
  <c r="H47" i="1"/>
  <c r="H398" i="1"/>
  <c r="H399" i="1"/>
  <c r="H400" i="1"/>
  <c r="H401" i="1"/>
  <c r="H402" i="1"/>
  <c r="H403" i="1"/>
  <c r="H404" i="1"/>
  <c r="H405" i="1"/>
  <c r="H406" i="1"/>
  <c r="H407" i="1"/>
  <c r="H48" i="1"/>
  <c r="H408" i="1"/>
  <c r="H409" i="1"/>
  <c r="H410" i="1"/>
  <c r="H411" i="1"/>
  <c r="H412" i="1"/>
  <c r="H413" i="1"/>
  <c r="H414" i="1"/>
  <c r="H415" i="1"/>
  <c r="H416" i="1"/>
  <c r="H417" i="1"/>
  <c r="H49" i="1"/>
  <c r="H418" i="1"/>
  <c r="H419" i="1"/>
  <c r="H420" i="1"/>
  <c r="H421" i="1"/>
  <c r="H422" i="1"/>
  <c r="H423" i="1"/>
  <c r="H424" i="1"/>
  <c r="H425" i="1"/>
  <c r="H426" i="1"/>
  <c r="H427" i="1"/>
  <c r="H50" i="1"/>
  <c r="H428" i="1"/>
  <c r="H429" i="1"/>
  <c r="H430" i="1"/>
  <c r="H431" i="1"/>
  <c r="H432" i="1"/>
  <c r="H433" i="1"/>
  <c r="H434" i="1"/>
  <c r="H435" i="1"/>
  <c r="H436" i="1"/>
  <c r="H437" i="1"/>
  <c r="H51" i="1"/>
  <c r="H438" i="1"/>
  <c r="H439" i="1"/>
  <c r="H440" i="1"/>
  <c r="H441" i="1"/>
  <c r="H442" i="1"/>
  <c r="H443" i="1"/>
  <c r="H444" i="1"/>
  <c r="H445" i="1"/>
  <c r="H446" i="1"/>
  <c r="H447" i="1"/>
  <c r="H52" i="1"/>
  <c r="H448" i="1"/>
  <c r="H449" i="1"/>
  <c r="H450" i="1"/>
  <c r="H451" i="1"/>
  <c r="H452" i="1"/>
  <c r="H453" i="1"/>
  <c r="H454" i="1"/>
  <c r="H455" i="1"/>
  <c r="H456" i="1"/>
  <c r="H457" i="1"/>
  <c r="H53" i="1"/>
  <c r="H458" i="1"/>
  <c r="H459" i="1"/>
  <c r="H460" i="1"/>
  <c r="H461" i="1"/>
  <c r="H462" i="1"/>
  <c r="H463" i="1"/>
  <c r="H464" i="1"/>
  <c r="H465" i="1"/>
  <c r="H466" i="1"/>
  <c r="H467" i="1"/>
  <c r="H54" i="1"/>
  <c r="H468" i="1"/>
  <c r="H469" i="1"/>
  <c r="H470" i="1"/>
  <c r="H471" i="1"/>
  <c r="H472" i="1"/>
  <c r="H473" i="1"/>
  <c r="H474" i="1"/>
  <c r="H475" i="1"/>
  <c r="H476" i="1"/>
  <c r="H477" i="1"/>
  <c r="H55" i="1"/>
  <c r="H478" i="1"/>
  <c r="H479" i="1"/>
  <c r="H480" i="1"/>
  <c r="H481" i="1"/>
  <c r="H482" i="1"/>
  <c r="H483" i="1"/>
  <c r="H484" i="1"/>
  <c r="H485" i="1"/>
  <c r="H486" i="1"/>
  <c r="H487" i="1"/>
  <c r="H56" i="1"/>
  <c r="H488" i="1"/>
  <c r="H489" i="1"/>
  <c r="H490" i="1"/>
  <c r="H491" i="1"/>
  <c r="H492" i="1"/>
  <c r="H493" i="1"/>
  <c r="H494" i="1"/>
  <c r="H495" i="1"/>
  <c r="H496" i="1"/>
  <c r="H497" i="1"/>
  <c r="H57" i="1"/>
  <c r="H498" i="1"/>
  <c r="H499" i="1"/>
  <c r="H500" i="1"/>
  <c r="H501" i="1"/>
  <c r="H502" i="1"/>
  <c r="H503" i="1"/>
  <c r="H504" i="1"/>
  <c r="H505" i="1"/>
  <c r="H506" i="1"/>
  <c r="H507" i="1"/>
  <c r="H13" i="1"/>
  <c r="H58" i="1"/>
  <c r="H508" i="1"/>
  <c r="H509" i="1"/>
  <c r="H510" i="1"/>
  <c r="H511" i="1"/>
  <c r="H512" i="1"/>
  <c r="H513" i="1"/>
  <c r="H514" i="1"/>
  <c r="H515" i="1"/>
  <c r="H516" i="1"/>
  <c r="H517" i="1"/>
  <c r="H59" i="1"/>
  <c r="H518" i="1"/>
  <c r="H519" i="1"/>
  <c r="H520" i="1"/>
  <c r="H521" i="1"/>
  <c r="H522" i="1"/>
  <c r="H523" i="1"/>
  <c r="H524" i="1"/>
  <c r="H525" i="1"/>
  <c r="H526" i="1"/>
  <c r="H527" i="1"/>
  <c r="H60" i="1"/>
  <c r="H528" i="1"/>
  <c r="H529" i="1"/>
  <c r="H530" i="1"/>
  <c r="H531" i="1"/>
  <c r="H532" i="1"/>
  <c r="H533" i="1"/>
  <c r="H534" i="1"/>
  <c r="H535" i="1"/>
  <c r="H536" i="1"/>
  <c r="H537" i="1"/>
  <c r="H61" i="1"/>
  <c r="H538" i="1"/>
  <c r="H539" i="1"/>
  <c r="H540" i="1"/>
  <c r="H541" i="1"/>
  <c r="H542" i="1"/>
  <c r="H543" i="1"/>
  <c r="H544" i="1"/>
  <c r="H545" i="1"/>
  <c r="H546" i="1"/>
  <c r="H547" i="1"/>
  <c r="H62" i="1"/>
  <c r="H63" i="1"/>
  <c r="H64" i="1"/>
  <c r="H65" i="1"/>
  <c r="H66" i="1"/>
  <c r="H67" i="1"/>
  <c r="H14" i="1"/>
  <c r="H68" i="1"/>
  <c r="H69" i="1"/>
  <c r="H70" i="1"/>
  <c r="H71" i="1"/>
  <c r="H72" i="1"/>
  <c r="H73" i="1"/>
  <c r="H74" i="1"/>
  <c r="H75" i="1"/>
  <c r="H76" i="1"/>
  <c r="H77" i="1"/>
  <c r="H15" i="1"/>
  <c r="H78" i="1"/>
  <c r="H79" i="1"/>
  <c r="H80" i="1"/>
  <c r="H81" i="1"/>
  <c r="H82" i="1"/>
  <c r="H83" i="1"/>
  <c r="H84" i="1"/>
  <c r="H85" i="1"/>
  <c r="H86" i="1"/>
  <c r="H87" i="1"/>
  <c r="H16" i="1"/>
  <c r="H88" i="1"/>
  <c r="H89" i="1"/>
  <c r="H90" i="1"/>
  <c r="H91" i="1"/>
  <c r="H92" i="1"/>
  <c r="H93" i="1"/>
  <c r="H94" i="1"/>
  <c r="H95" i="1"/>
  <c r="H96" i="1"/>
  <c r="H97" i="1"/>
  <c r="H17" i="1"/>
  <c r="H98" i="1"/>
  <c r="H99" i="1"/>
  <c r="H100" i="1"/>
  <c r="H101" i="1"/>
  <c r="H102" i="1"/>
  <c r="H103" i="1"/>
  <c r="H104" i="1"/>
  <c r="H105" i="1"/>
  <c r="H106" i="1"/>
  <c r="H107" i="1"/>
  <c r="H9" i="1"/>
  <c r="G18" i="1"/>
  <c r="G108" i="1"/>
  <c r="G109" i="1"/>
  <c r="G110" i="1"/>
  <c r="G111" i="1"/>
  <c r="G112" i="1"/>
  <c r="G113" i="1"/>
  <c r="G114" i="1"/>
  <c r="G115" i="1"/>
  <c r="G116" i="1"/>
  <c r="G117" i="1"/>
  <c r="G19" i="1"/>
  <c r="G118" i="1"/>
  <c r="G119" i="1"/>
  <c r="G120" i="1"/>
  <c r="G121" i="1"/>
  <c r="G122" i="1"/>
  <c r="G123" i="1"/>
  <c r="G124" i="1"/>
  <c r="G125" i="1"/>
  <c r="G126" i="1"/>
  <c r="G127" i="1"/>
  <c r="G20" i="1"/>
  <c r="G128" i="1"/>
  <c r="G129" i="1"/>
  <c r="G130" i="1"/>
  <c r="G131" i="1"/>
  <c r="G132" i="1"/>
  <c r="G133" i="1"/>
  <c r="G134" i="1"/>
  <c r="G135" i="1"/>
  <c r="G136" i="1"/>
  <c r="G137" i="1"/>
  <c r="G21" i="1"/>
  <c r="G138" i="1"/>
  <c r="G139" i="1"/>
  <c r="G140" i="1"/>
  <c r="G141" i="1"/>
  <c r="G142" i="1"/>
  <c r="G143" i="1"/>
  <c r="G144" i="1"/>
  <c r="G145" i="1"/>
  <c r="G146" i="1"/>
  <c r="G147" i="1"/>
  <c r="G22" i="1"/>
  <c r="G148" i="1"/>
  <c r="G149" i="1"/>
  <c r="G150" i="1"/>
  <c r="G151" i="1"/>
  <c r="G152" i="1"/>
  <c r="G153" i="1"/>
  <c r="G154" i="1"/>
  <c r="G155" i="1"/>
  <c r="G156" i="1"/>
  <c r="G157" i="1"/>
  <c r="G23" i="1"/>
  <c r="G158" i="1"/>
  <c r="G159" i="1"/>
  <c r="G160" i="1"/>
  <c r="G161" i="1"/>
  <c r="G162" i="1"/>
  <c r="G163" i="1"/>
  <c r="G164" i="1"/>
  <c r="G165" i="1"/>
  <c r="G166" i="1"/>
  <c r="G167" i="1"/>
  <c r="G24" i="1"/>
  <c r="G168" i="1"/>
  <c r="G169" i="1"/>
  <c r="G170" i="1"/>
  <c r="G171" i="1"/>
  <c r="G172" i="1"/>
  <c r="G173" i="1"/>
  <c r="G174" i="1"/>
  <c r="G175" i="1"/>
  <c r="G176" i="1"/>
  <c r="G177" i="1"/>
  <c r="G25" i="1"/>
  <c r="G178" i="1"/>
  <c r="G179" i="1"/>
  <c r="G180" i="1"/>
  <c r="G181" i="1"/>
  <c r="G182" i="1"/>
  <c r="G183" i="1"/>
  <c r="G184" i="1"/>
  <c r="G185" i="1"/>
  <c r="G186" i="1"/>
  <c r="G187" i="1"/>
  <c r="G26" i="1"/>
  <c r="G188" i="1"/>
  <c r="G189" i="1"/>
  <c r="G190" i="1"/>
  <c r="G191" i="1"/>
  <c r="G192" i="1"/>
  <c r="G193" i="1"/>
  <c r="G194" i="1"/>
  <c r="G195" i="1"/>
  <c r="G196" i="1"/>
  <c r="G197" i="1"/>
  <c r="G27" i="1"/>
  <c r="G198" i="1"/>
  <c r="G199" i="1"/>
  <c r="G200" i="1"/>
  <c r="G201" i="1"/>
  <c r="G202" i="1"/>
  <c r="G203" i="1"/>
  <c r="G204" i="1"/>
  <c r="G205" i="1"/>
  <c r="G206" i="1"/>
  <c r="G207" i="1"/>
  <c r="G10" i="1"/>
  <c r="G28" i="1"/>
  <c r="G208" i="1"/>
  <c r="G209" i="1"/>
  <c r="G210" i="1"/>
  <c r="G211" i="1"/>
  <c r="G212" i="1"/>
  <c r="G213" i="1"/>
  <c r="G214" i="1"/>
  <c r="G215" i="1"/>
  <c r="G216" i="1"/>
  <c r="G217" i="1"/>
  <c r="G29" i="1"/>
  <c r="G218" i="1"/>
  <c r="G219" i="1"/>
  <c r="G220" i="1"/>
  <c r="G221" i="1"/>
  <c r="G222" i="1"/>
  <c r="G223" i="1"/>
  <c r="G224" i="1"/>
  <c r="G225" i="1"/>
  <c r="G226" i="1"/>
  <c r="G227" i="1"/>
  <c r="G30" i="1"/>
  <c r="G228" i="1"/>
  <c r="G229" i="1"/>
  <c r="G230" i="1"/>
  <c r="G231" i="1"/>
  <c r="G232" i="1"/>
  <c r="G233" i="1"/>
  <c r="G234" i="1"/>
  <c r="G235" i="1"/>
  <c r="G236" i="1"/>
  <c r="G237" i="1"/>
  <c r="G31" i="1"/>
  <c r="G238" i="1"/>
  <c r="G239" i="1"/>
  <c r="G240" i="1"/>
  <c r="G241" i="1"/>
  <c r="G242" i="1"/>
  <c r="G243" i="1"/>
  <c r="G244" i="1"/>
  <c r="G245" i="1"/>
  <c r="G246" i="1"/>
  <c r="G247" i="1"/>
  <c r="G32" i="1"/>
  <c r="G248" i="1"/>
  <c r="G249" i="1"/>
  <c r="G250" i="1"/>
  <c r="G251" i="1"/>
  <c r="G252" i="1"/>
  <c r="G253" i="1"/>
  <c r="G254" i="1"/>
  <c r="G255" i="1"/>
  <c r="G256" i="1"/>
  <c r="G257" i="1"/>
  <c r="G33" i="1"/>
  <c r="G258" i="1"/>
  <c r="G259" i="1"/>
  <c r="G260" i="1"/>
  <c r="G261" i="1"/>
  <c r="G262" i="1"/>
  <c r="G263" i="1"/>
  <c r="G264" i="1"/>
  <c r="G265" i="1"/>
  <c r="G266" i="1"/>
  <c r="G267" i="1"/>
  <c r="G34" i="1"/>
  <c r="G268" i="1"/>
  <c r="G269" i="1"/>
  <c r="G270" i="1"/>
  <c r="G271" i="1"/>
  <c r="G272" i="1"/>
  <c r="G273" i="1"/>
  <c r="G274" i="1"/>
  <c r="G275" i="1"/>
  <c r="G276" i="1"/>
  <c r="G277" i="1"/>
  <c r="G35" i="1"/>
  <c r="G278" i="1"/>
  <c r="G279" i="1"/>
  <c r="G280" i="1"/>
  <c r="G281" i="1"/>
  <c r="G282" i="1"/>
  <c r="G283" i="1"/>
  <c r="G284" i="1"/>
  <c r="G285" i="1"/>
  <c r="G286" i="1"/>
  <c r="G287" i="1"/>
  <c r="G36" i="1"/>
  <c r="G288" i="1"/>
  <c r="G289" i="1"/>
  <c r="G290" i="1"/>
  <c r="G291" i="1"/>
  <c r="G292" i="1"/>
  <c r="G293" i="1"/>
  <c r="G294" i="1"/>
  <c r="G295" i="1"/>
  <c r="G296" i="1"/>
  <c r="G297" i="1"/>
  <c r="G37" i="1"/>
  <c r="G298" i="1"/>
  <c r="G299" i="1"/>
  <c r="G300" i="1"/>
  <c r="G301" i="1"/>
  <c r="G302" i="1"/>
  <c r="G303" i="1"/>
  <c r="G304" i="1"/>
  <c r="G305" i="1"/>
  <c r="G306" i="1"/>
  <c r="G307" i="1"/>
  <c r="G11" i="1"/>
  <c r="G38" i="1"/>
  <c r="G308" i="1"/>
  <c r="G309" i="1"/>
  <c r="G310" i="1"/>
  <c r="G311" i="1"/>
  <c r="G312" i="1"/>
  <c r="G313" i="1"/>
  <c r="G314" i="1"/>
  <c r="G315" i="1"/>
  <c r="G316" i="1"/>
  <c r="G317" i="1"/>
  <c r="G39" i="1"/>
  <c r="G318" i="1"/>
  <c r="G319" i="1"/>
  <c r="G320" i="1"/>
  <c r="G321" i="1"/>
  <c r="G322" i="1"/>
  <c r="G323" i="1"/>
  <c r="G324" i="1"/>
  <c r="G325" i="1"/>
  <c r="G326" i="1"/>
  <c r="G327" i="1"/>
  <c r="G40" i="1"/>
  <c r="G328" i="1"/>
  <c r="G329" i="1"/>
  <c r="G330" i="1"/>
  <c r="G331" i="1"/>
  <c r="G332" i="1"/>
  <c r="G333" i="1"/>
  <c r="G334" i="1"/>
  <c r="G335" i="1"/>
  <c r="G336" i="1"/>
  <c r="G337" i="1"/>
  <c r="G41" i="1"/>
  <c r="G338" i="1"/>
  <c r="G339" i="1"/>
  <c r="G340" i="1"/>
  <c r="G341" i="1"/>
  <c r="G342" i="1"/>
  <c r="G343" i="1"/>
  <c r="G344" i="1"/>
  <c r="G345" i="1"/>
  <c r="G346" i="1"/>
  <c r="G347" i="1"/>
  <c r="G42" i="1"/>
  <c r="G348" i="1"/>
  <c r="G349" i="1"/>
  <c r="G350" i="1"/>
  <c r="G351" i="1"/>
  <c r="G352" i="1"/>
  <c r="G353" i="1"/>
  <c r="G354" i="1"/>
  <c r="G355" i="1"/>
  <c r="G356" i="1"/>
  <c r="G357" i="1"/>
  <c r="G43" i="1"/>
  <c r="G358" i="1"/>
  <c r="G359" i="1"/>
  <c r="G360" i="1"/>
  <c r="G361" i="1"/>
  <c r="G362" i="1"/>
  <c r="G363" i="1"/>
  <c r="G364" i="1"/>
  <c r="G365" i="1"/>
  <c r="G366" i="1"/>
  <c r="G367" i="1"/>
  <c r="G44" i="1"/>
  <c r="G368" i="1"/>
  <c r="G369" i="1"/>
  <c r="G370" i="1"/>
  <c r="G371" i="1"/>
  <c r="G372" i="1"/>
  <c r="G373" i="1"/>
  <c r="G374" i="1"/>
  <c r="G375" i="1"/>
  <c r="G376" i="1"/>
  <c r="G377" i="1"/>
  <c r="G45" i="1"/>
  <c r="G378" i="1"/>
  <c r="G379" i="1"/>
  <c r="G380" i="1"/>
  <c r="G381" i="1"/>
  <c r="G382" i="1"/>
  <c r="G383" i="1"/>
  <c r="G384" i="1"/>
  <c r="G385" i="1"/>
  <c r="G386" i="1"/>
  <c r="G387" i="1"/>
  <c r="G46" i="1"/>
  <c r="G388" i="1"/>
  <c r="G389" i="1"/>
  <c r="G390" i="1"/>
  <c r="G391" i="1"/>
  <c r="G392" i="1"/>
  <c r="G393" i="1"/>
  <c r="G394" i="1"/>
  <c r="G395" i="1"/>
  <c r="G396" i="1"/>
  <c r="G397" i="1"/>
  <c r="G47" i="1"/>
  <c r="G398" i="1"/>
  <c r="G399" i="1"/>
  <c r="G400" i="1"/>
  <c r="G401" i="1"/>
  <c r="G402" i="1"/>
  <c r="G403" i="1"/>
  <c r="G404" i="1"/>
  <c r="G405" i="1"/>
  <c r="G406" i="1"/>
  <c r="G407" i="1"/>
  <c r="G12" i="1"/>
  <c r="G48" i="1"/>
  <c r="G408" i="1"/>
  <c r="G409" i="1"/>
  <c r="G410" i="1"/>
  <c r="G411" i="1"/>
  <c r="G412" i="1"/>
  <c r="G413" i="1"/>
  <c r="G414" i="1"/>
  <c r="G415" i="1"/>
  <c r="G416" i="1"/>
  <c r="G417" i="1"/>
  <c r="G49" i="1"/>
  <c r="G418" i="1"/>
  <c r="G419" i="1"/>
  <c r="G420" i="1"/>
  <c r="G421" i="1"/>
  <c r="G422" i="1"/>
  <c r="G423" i="1"/>
  <c r="G424" i="1"/>
  <c r="G425" i="1"/>
  <c r="G426" i="1"/>
  <c r="G427" i="1"/>
  <c r="G50" i="1"/>
  <c r="G428" i="1"/>
  <c r="G429" i="1"/>
  <c r="G430" i="1"/>
  <c r="G431" i="1"/>
  <c r="G432" i="1"/>
  <c r="G433" i="1"/>
  <c r="G434" i="1"/>
  <c r="G435" i="1"/>
  <c r="G436" i="1"/>
  <c r="G437" i="1"/>
  <c r="G51" i="1"/>
  <c r="G438" i="1"/>
  <c r="G439" i="1"/>
  <c r="G440" i="1"/>
  <c r="G441" i="1"/>
  <c r="G442" i="1"/>
  <c r="G443" i="1"/>
  <c r="G444" i="1"/>
  <c r="G445" i="1"/>
  <c r="G446" i="1"/>
  <c r="G447" i="1"/>
  <c r="G52" i="1"/>
  <c r="G448" i="1"/>
  <c r="G449" i="1"/>
  <c r="G450" i="1"/>
  <c r="G451" i="1"/>
  <c r="G452" i="1"/>
  <c r="G453" i="1"/>
  <c r="G454" i="1"/>
  <c r="G455" i="1"/>
  <c r="G456" i="1"/>
  <c r="G457" i="1"/>
  <c r="G53" i="1"/>
  <c r="G458" i="1"/>
  <c r="G459" i="1"/>
  <c r="G460" i="1"/>
  <c r="G461" i="1"/>
  <c r="G462" i="1"/>
  <c r="G463" i="1"/>
  <c r="G464" i="1"/>
  <c r="G465" i="1"/>
  <c r="G466" i="1"/>
  <c r="G467" i="1"/>
  <c r="G54" i="1"/>
  <c r="G468" i="1"/>
  <c r="G469" i="1"/>
  <c r="G470" i="1"/>
  <c r="G471" i="1"/>
  <c r="G472" i="1"/>
  <c r="G473" i="1"/>
  <c r="G474" i="1"/>
  <c r="G475" i="1"/>
  <c r="G476" i="1"/>
  <c r="G477" i="1"/>
  <c r="G55" i="1"/>
  <c r="G478" i="1"/>
  <c r="G479" i="1"/>
  <c r="G480" i="1"/>
  <c r="G481" i="1"/>
  <c r="G482" i="1"/>
  <c r="G483" i="1"/>
  <c r="G484" i="1"/>
  <c r="G485" i="1"/>
  <c r="G486" i="1"/>
  <c r="G487" i="1"/>
  <c r="G56" i="1"/>
  <c r="G488" i="1"/>
  <c r="G489" i="1"/>
  <c r="G490" i="1"/>
  <c r="G491" i="1"/>
  <c r="G492" i="1"/>
  <c r="G493" i="1"/>
  <c r="G494" i="1"/>
  <c r="G495" i="1"/>
  <c r="G496" i="1"/>
  <c r="G497" i="1"/>
  <c r="G57" i="1"/>
  <c r="G498" i="1"/>
  <c r="G499" i="1"/>
  <c r="G500" i="1"/>
  <c r="G501" i="1"/>
  <c r="G502" i="1"/>
  <c r="G503" i="1"/>
  <c r="G504" i="1"/>
  <c r="G505" i="1"/>
  <c r="G506" i="1"/>
  <c r="G507" i="1"/>
  <c r="G13" i="1"/>
  <c r="G58" i="1"/>
  <c r="G508" i="1"/>
  <c r="G509" i="1"/>
  <c r="G510" i="1"/>
  <c r="G511" i="1"/>
  <c r="G512" i="1"/>
  <c r="G513" i="1"/>
  <c r="G514" i="1"/>
  <c r="G515" i="1"/>
  <c r="G516" i="1"/>
  <c r="G517" i="1"/>
  <c r="G59" i="1"/>
  <c r="G518" i="1"/>
  <c r="G519" i="1"/>
  <c r="G520" i="1"/>
  <c r="G521" i="1"/>
  <c r="G522" i="1"/>
  <c r="G523" i="1"/>
  <c r="G524" i="1"/>
  <c r="G525" i="1"/>
  <c r="G526" i="1"/>
  <c r="G527" i="1"/>
  <c r="G60" i="1"/>
  <c r="G528" i="1"/>
  <c r="G529" i="1"/>
  <c r="G530" i="1"/>
  <c r="G531" i="1"/>
  <c r="G532" i="1"/>
  <c r="G533" i="1"/>
  <c r="G534" i="1"/>
  <c r="G535" i="1"/>
  <c r="G536" i="1"/>
  <c r="G537" i="1"/>
  <c r="G61" i="1"/>
  <c r="G538" i="1"/>
  <c r="G539" i="1"/>
  <c r="G540" i="1"/>
  <c r="G541" i="1"/>
  <c r="G542" i="1"/>
  <c r="G543" i="1"/>
  <c r="G544" i="1"/>
  <c r="G545" i="1"/>
  <c r="G546" i="1"/>
  <c r="G547" i="1"/>
  <c r="G62" i="1"/>
  <c r="G63" i="1"/>
  <c r="G64" i="1"/>
  <c r="G65" i="1"/>
  <c r="G66" i="1"/>
  <c r="G67" i="1"/>
  <c r="G14" i="1"/>
  <c r="G68" i="1"/>
  <c r="G69" i="1"/>
  <c r="G70" i="1"/>
  <c r="G71" i="1"/>
  <c r="G72" i="1"/>
  <c r="G73" i="1"/>
  <c r="G74" i="1"/>
  <c r="G75" i="1"/>
  <c r="G76" i="1"/>
  <c r="G77" i="1"/>
  <c r="G15" i="1"/>
  <c r="G78" i="1"/>
  <c r="G79" i="1"/>
  <c r="G80" i="1"/>
  <c r="G81" i="1"/>
  <c r="G82" i="1"/>
  <c r="G83" i="1"/>
  <c r="G84" i="1"/>
  <c r="G85" i="1"/>
  <c r="G86" i="1"/>
  <c r="G87" i="1"/>
  <c r="G16" i="1"/>
  <c r="G88" i="1"/>
  <c r="G89" i="1"/>
  <c r="G90" i="1"/>
  <c r="G91" i="1"/>
  <c r="G92" i="1"/>
  <c r="G93" i="1"/>
  <c r="G94" i="1"/>
  <c r="G95" i="1"/>
  <c r="G96" i="1"/>
  <c r="G97" i="1"/>
  <c r="G17" i="1"/>
  <c r="G98" i="1"/>
  <c r="G99" i="1"/>
  <c r="G100" i="1"/>
  <c r="G101" i="1"/>
  <c r="G102" i="1"/>
  <c r="G103" i="1"/>
  <c r="G104" i="1"/>
  <c r="G105" i="1"/>
  <c r="G106" i="1"/>
  <c r="G107" i="1"/>
  <c r="G9" i="1"/>
  <c r="F18" i="1"/>
  <c r="F108" i="1"/>
  <c r="F109" i="1"/>
  <c r="F110" i="1"/>
  <c r="F111" i="1"/>
  <c r="F112" i="1"/>
  <c r="F113" i="1"/>
  <c r="F114" i="1"/>
  <c r="F115" i="1"/>
  <c r="F116" i="1"/>
  <c r="F117" i="1"/>
  <c r="F19" i="1"/>
  <c r="F118" i="1"/>
  <c r="F119" i="1"/>
  <c r="F120" i="1"/>
  <c r="F121" i="1"/>
  <c r="F122" i="1"/>
  <c r="F123" i="1"/>
  <c r="F124" i="1"/>
  <c r="F125" i="1"/>
  <c r="F126" i="1"/>
  <c r="F127" i="1"/>
  <c r="F20" i="1"/>
  <c r="F128" i="1"/>
  <c r="F129" i="1"/>
  <c r="F130" i="1"/>
  <c r="F131" i="1"/>
  <c r="F132" i="1"/>
  <c r="F133" i="1"/>
  <c r="F134" i="1"/>
  <c r="F135" i="1"/>
  <c r="F136" i="1"/>
  <c r="F137" i="1"/>
  <c r="F21" i="1"/>
  <c r="F138" i="1"/>
  <c r="F139" i="1"/>
  <c r="F140" i="1"/>
  <c r="F141" i="1"/>
  <c r="F142" i="1"/>
  <c r="F143" i="1"/>
  <c r="F144" i="1"/>
  <c r="F145" i="1"/>
  <c r="F146" i="1"/>
  <c r="F147" i="1"/>
  <c r="F22" i="1"/>
  <c r="F148" i="1"/>
  <c r="F149" i="1"/>
  <c r="F150" i="1"/>
  <c r="F151" i="1"/>
  <c r="F152" i="1"/>
  <c r="F153" i="1"/>
  <c r="F154" i="1"/>
  <c r="F155" i="1"/>
  <c r="F156" i="1"/>
  <c r="F157" i="1"/>
  <c r="F23" i="1"/>
  <c r="F158" i="1"/>
  <c r="F159" i="1"/>
  <c r="F160" i="1"/>
  <c r="F161" i="1"/>
  <c r="F162" i="1"/>
  <c r="F163" i="1"/>
  <c r="F164" i="1"/>
  <c r="F165" i="1"/>
  <c r="F166" i="1"/>
  <c r="F167" i="1"/>
  <c r="F24" i="1"/>
  <c r="F168" i="1"/>
  <c r="F169" i="1"/>
  <c r="F170" i="1"/>
  <c r="F171" i="1"/>
  <c r="F172" i="1"/>
  <c r="F173" i="1"/>
  <c r="F174" i="1"/>
  <c r="F175" i="1"/>
  <c r="F176" i="1"/>
  <c r="F177" i="1"/>
  <c r="F25" i="1"/>
  <c r="F178" i="1"/>
  <c r="F179" i="1"/>
  <c r="F180" i="1"/>
  <c r="F181" i="1"/>
  <c r="F182" i="1"/>
  <c r="F183" i="1"/>
  <c r="F184" i="1"/>
  <c r="F185" i="1"/>
  <c r="F186" i="1"/>
  <c r="F187" i="1"/>
  <c r="F26" i="1"/>
  <c r="F188" i="1"/>
  <c r="F189" i="1"/>
  <c r="F190" i="1"/>
  <c r="F191" i="1"/>
  <c r="F192" i="1"/>
  <c r="F193" i="1"/>
  <c r="F194" i="1"/>
  <c r="F195" i="1"/>
  <c r="F196" i="1"/>
  <c r="F197" i="1"/>
  <c r="F27" i="1"/>
  <c r="F198" i="1"/>
  <c r="F199" i="1"/>
  <c r="F200" i="1"/>
  <c r="F201" i="1"/>
  <c r="F202" i="1"/>
  <c r="F203" i="1"/>
  <c r="F204" i="1"/>
  <c r="F205" i="1"/>
  <c r="F206" i="1"/>
  <c r="F207" i="1"/>
  <c r="F10" i="1"/>
  <c r="F28" i="1"/>
  <c r="F208" i="1"/>
  <c r="F209" i="1"/>
  <c r="F210" i="1"/>
  <c r="F211" i="1"/>
  <c r="F212" i="1"/>
  <c r="F213" i="1"/>
  <c r="F214" i="1"/>
  <c r="F215" i="1"/>
  <c r="F216" i="1"/>
  <c r="F217" i="1"/>
  <c r="F29" i="1"/>
  <c r="F218" i="1"/>
  <c r="F219" i="1"/>
  <c r="F220" i="1"/>
  <c r="F221" i="1"/>
  <c r="F222" i="1"/>
  <c r="F223" i="1"/>
  <c r="F224" i="1"/>
  <c r="F225" i="1"/>
  <c r="F226" i="1"/>
  <c r="F227" i="1"/>
  <c r="F30" i="1"/>
  <c r="F228" i="1"/>
  <c r="F229" i="1"/>
  <c r="F230" i="1"/>
  <c r="F231" i="1"/>
  <c r="F232" i="1"/>
  <c r="F233" i="1"/>
  <c r="F234" i="1"/>
  <c r="F235" i="1"/>
  <c r="F236" i="1"/>
  <c r="F237" i="1"/>
  <c r="F31" i="1"/>
  <c r="F238" i="1"/>
  <c r="F239" i="1"/>
  <c r="F240" i="1"/>
  <c r="F241" i="1"/>
  <c r="F242" i="1"/>
  <c r="F243" i="1"/>
  <c r="F244" i="1"/>
  <c r="F245" i="1"/>
  <c r="F246" i="1"/>
  <c r="F247" i="1"/>
  <c r="F32" i="1"/>
  <c r="F248" i="1"/>
  <c r="F249" i="1"/>
  <c r="F250" i="1"/>
  <c r="F251" i="1"/>
  <c r="F252" i="1"/>
  <c r="F253" i="1"/>
  <c r="F254" i="1"/>
  <c r="F255" i="1"/>
  <c r="F256" i="1"/>
  <c r="F257" i="1"/>
  <c r="F33" i="1"/>
  <c r="F258" i="1"/>
  <c r="F259" i="1"/>
  <c r="F260" i="1"/>
  <c r="F261" i="1"/>
  <c r="F262" i="1"/>
  <c r="F263" i="1"/>
  <c r="F264" i="1"/>
  <c r="F265" i="1"/>
  <c r="F266" i="1"/>
  <c r="F267" i="1"/>
  <c r="F34" i="1"/>
  <c r="F268" i="1"/>
  <c r="F269" i="1"/>
  <c r="F270" i="1"/>
  <c r="F271" i="1"/>
  <c r="F272" i="1"/>
  <c r="F273" i="1"/>
  <c r="F274" i="1"/>
  <c r="F275" i="1"/>
  <c r="F276" i="1"/>
  <c r="F277" i="1"/>
  <c r="F35" i="1"/>
  <c r="F278" i="1"/>
  <c r="F279" i="1"/>
  <c r="F280" i="1"/>
  <c r="F281" i="1"/>
  <c r="F282" i="1"/>
  <c r="F283" i="1"/>
  <c r="F284" i="1"/>
  <c r="F285" i="1"/>
  <c r="F286" i="1"/>
  <c r="F287" i="1"/>
  <c r="F36" i="1"/>
  <c r="F288" i="1"/>
  <c r="F289" i="1"/>
  <c r="F290" i="1"/>
  <c r="F291" i="1"/>
  <c r="F292" i="1"/>
  <c r="F293" i="1"/>
  <c r="F294" i="1"/>
  <c r="F295" i="1"/>
  <c r="F296" i="1"/>
  <c r="F297" i="1"/>
  <c r="F37" i="1"/>
  <c r="F298" i="1"/>
  <c r="F299" i="1"/>
  <c r="F300" i="1"/>
  <c r="F301" i="1"/>
  <c r="F302" i="1"/>
  <c r="F303" i="1"/>
  <c r="F304" i="1"/>
  <c r="F305" i="1"/>
  <c r="F306" i="1"/>
  <c r="F307" i="1"/>
  <c r="F11" i="1"/>
  <c r="F38" i="1"/>
  <c r="F308" i="1"/>
  <c r="F309" i="1"/>
  <c r="F310" i="1"/>
  <c r="F311" i="1"/>
  <c r="F312" i="1"/>
  <c r="F313" i="1"/>
  <c r="F314" i="1"/>
  <c r="F315" i="1"/>
  <c r="F316" i="1"/>
  <c r="F317" i="1"/>
  <c r="F39" i="1"/>
  <c r="F318" i="1"/>
  <c r="F319" i="1"/>
  <c r="F320" i="1"/>
  <c r="F321" i="1"/>
  <c r="F322" i="1"/>
  <c r="F323" i="1"/>
  <c r="F324" i="1"/>
  <c r="F325" i="1"/>
  <c r="F326" i="1"/>
  <c r="F327" i="1"/>
  <c r="F40" i="1"/>
  <c r="F328" i="1"/>
  <c r="F329" i="1"/>
  <c r="F330" i="1"/>
  <c r="F331" i="1"/>
  <c r="F332" i="1"/>
  <c r="F333" i="1"/>
  <c r="F334" i="1"/>
  <c r="F335" i="1"/>
  <c r="F336" i="1"/>
  <c r="F337" i="1"/>
  <c r="F41" i="1"/>
  <c r="F338" i="1"/>
  <c r="F339" i="1"/>
  <c r="F340" i="1"/>
  <c r="F341" i="1"/>
  <c r="F342" i="1"/>
  <c r="F343" i="1"/>
  <c r="F344" i="1"/>
  <c r="F345" i="1"/>
  <c r="F346" i="1"/>
  <c r="F347" i="1"/>
  <c r="F42" i="1"/>
  <c r="F348" i="1"/>
  <c r="F349" i="1"/>
  <c r="F350" i="1"/>
  <c r="F351" i="1"/>
  <c r="F352" i="1"/>
  <c r="F353" i="1"/>
  <c r="F354" i="1"/>
  <c r="F355" i="1"/>
  <c r="F356" i="1"/>
  <c r="F357" i="1"/>
  <c r="F43" i="1"/>
  <c r="F358" i="1"/>
  <c r="F359" i="1"/>
  <c r="F360" i="1"/>
  <c r="F361" i="1"/>
  <c r="F362" i="1"/>
  <c r="F363" i="1"/>
  <c r="F364" i="1"/>
  <c r="F365" i="1"/>
  <c r="F366" i="1"/>
  <c r="F367" i="1"/>
  <c r="F44" i="1"/>
  <c r="F368" i="1"/>
  <c r="F369" i="1"/>
  <c r="F370" i="1"/>
  <c r="F371" i="1"/>
  <c r="F372" i="1"/>
  <c r="F373" i="1"/>
  <c r="F374" i="1"/>
  <c r="F375" i="1"/>
  <c r="F376" i="1"/>
  <c r="F377" i="1"/>
  <c r="F45" i="1"/>
  <c r="F378" i="1"/>
  <c r="F379" i="1"/>
  <c r="F380" i="1"/>
  <c r="F381" i="1"/>
  <c r="F382" i="1"/>
  <c r="F383" i="1"/>
  <c r="F384" i="1"/>
  <c r="F385" i="1"/>
  <c r="F386" i="1"/>
  <c r="F387" i="1"/>
  <c r="F46" i="1"/>
  <c r="F388" i="1"/>
  <c r="F389" i="1"/>
  <c r="F390" i="1"/>
  <c r="F391" i="1"/>
  <c r="F392" i="1"/>
  <c r="F393" i="1"/>
  <c r="F394" i="1"/>
  <c r="F395" i="1"/>
  <c r="F396" i="1"/>
  <c r="F397" i="1"/>
  <c r="F47" i="1"/>
  <c r="F398" i="1"/>
  <c r="F399" i="1"/>
  <c r="F400" i="1"/>
  <c r="F401" i="1"/>
  <c r="F402" i="1"/>
  <c r="F403" i="1"/>
  <c r="F404" i="1"/>
  <c r="F405" i="1"/>
  <c r="F406" i="1"/>
  <c r="F407" i="1"/>
  <c r="F12" i="1"/>
  <c r="F48" i="1"/>
  <c r="F408" i="1"/>
  <c r="F409" i="1"/>
  <c r="F410" i="1"/>
  <c r="F411" i="1"/>
  <c r="F412" i="1"/>
  <c r="F413" i="1"/>
  <c r="F414" i="1"/>
  <c r="F415" i="1"/>
  <c r="F416" i="1"/>
  <c r="F417" i="1"/>
  <c r="F49" i="1"/>
  <c r="F418" i="1"/>
  <c r="F419" i="1"/>
  <c r="F420" i="1"/>
  <c r="F421" i="1"/>
  <c r="F422" i="1"/>
  <c r="F423" i="1"/>
  <c r="F424" i="1"/>
  <c r="F425" i="1"/>
  <c r="F426" i="1"/>
  <c r="F427" i="1"/>
  <c r="F50" i="1"/>
  <c r="F428" i="1"/>
  <c r="F429" i="1"/>
  <c r="F430" i="1"/>
  <c r="F431" i="1"/>
  <c r="F432" i="1"/>
  <c r="F433" i="1"/>
  <c r="F434" i="1"/>
  <c r="F435" i="1"/>
  <c r="F436" i="1"/>
  <c r="F437" i="1"/>
  <c r="F51" i="1"/>
  <c r="F438" i="1"/>
  <c r="F439" i="1"/>
  <c r="F440" i="1"/>
  <c r="F441" i="1"/>
  <c r="F442" i="1"/>
  <c r="F443" i="1"/>
  <c r="F444" i="1"/>
  <c r="F445" i="1"/>
  <c r="F446" i="1"/>
  <c r="F447" i="1"/>
  <c r="F52" i="1"/>
  <c r="F448" i="1"/>
  <c r="F449" i="1"/>
  <c r="F450" i="1"/>
  <c r="F451" i="1"/>
  <c r="F452" i="1"/>
  <c r="F453" i="1"/>
  <c r="F454" i="1"/>
  <c r="F455" i="1"/>
  <c r="F456" i="1"/>
  <c r="F457" i="1"/>
  <c r="F53" i="1"/>
  <c r="F458" i="1"/>
  <c r="F459" i="1"/>
  <c r="F460" i="1"/>
  <c r="F461" i="1"/>
  <c r="F462" i="1"/>
  <c r="F463" i="1"/>
  <c r="F464" i="1"/>
  <c r="F465" i="1"/>
  <c r="F466" i="1"/>
  <c r="F467" i="1"/>
  <c r="F54" i="1"/>
  <c r="F468" i="1"/>
  <c r="F469" i="1"/>
  <c r="F470" i="1"/>
  <c r="F471" i="1"/>
  <c r="F472" i="1"/>
  <c r="F473" i="1"/>
  <c r="F474" i="1"/>
  <c r="F475" i="1"/>
  <c r="F476" i="1"/>
  <c r="F477" i="1"/>
  <c r="F55" i="1"/>
  <c r="F478" i="1"/>
  <c r="F479" i="1"/>
  <c r="F480" i="1"/>
  <c r="F481" i="1"/>
  <c r="F482" i="1"/>
  <c r="F483" i="1"/>
  <c r="F484" i="1"/>
  <c r="F485" i="1"/>
  <c r="F486" i="1"/>
  <c r="F487" i="1"/>
  <c r="F56" i="1"/>
  <c r="F488" i="1"/>
  <c r="F489" i="1"/>
  <c r="F490" i="1"/>
  <c r="F491" i="1"/>
  <c r="F492" i="1"/>
  <c r="F493" i="1"/>
  <c r="F494" i="1"/>
  <c r="F495" i="1"/>
  <c r="F496" i="1"/>
  <c r="F497" i="1"/>
  <c r="F57" i="1"/>
  <c r="F498" i="1"/>
  <c r="F499" i="1"/>
  <c r="F500" i="1"/>
  <c r="F501" i="1"/>
  <c r="F502" i="1"/>
  <c r="F503" i="1"/>
  <c r="F504" i="1"/>
  <c r="F505" i="1"/>
  <c r="F506" i="1"/>
  <c r="F507" i="1"/>
  <c r="F13" i="1"/>
  <c r="F58" i="1"/>
  <c r="F508" i="1"/>
  <c r="F509" i="1"/>
  <c r="F510" i="1"/>
  <c r="F511" i="1"/>
  <c r="F512" i="1"/>
  <c r="F513" i="1"/>
  <c r="F514" i="1"/>
  <c r="F515" i="1"/>
  <c r="F516" i="1"/>
  <c r="F517" i="1"/>
  <c r="F59" i="1"/>
  <c r="F518" i="1"/>
  <c r="F519" i="1"/>
  <c r="F520" i="1"/>
  <c r="F521" i="1"/>
  <c r="F522" i="1"/>
  <c r="F523" i="1"/>
  <c r="F524" i="1"/>
  <c r="F525" i="1"/>
  <c r="F526" i="1"/>
  <c r="F527" i="1"/>
  <c r="F60" i="1"/>
  <c r="F528" i="1"/>
  <c r="F529" i="1"/>
  <c r="F530" i="1"/>
  <c r="F531" i="1"/>
  <c r="F532" i="1"/>
  <c r="F533" i="1"/>
  <c r="F534" i="1"/>
  <c r="F535" i="1"/>
  <c r="F536" i="1"/>
  <c r="F537" i="1"/>
  <c r="F61" i="1"/>
  <c r="F538" i="1"/>
  <c r="F539" i="1"/>
  <c r="F540" i="1"/>
  <c r="F541" i="1"/>
  <c r="F542" i="1"/>
  <c r="F543" i="1"/>
  <c r="F544" i="1"/>
  <c r="F545" i="1"/>
  <c r="F546" i="1"/>
  <c r="F547" i="1"/>
  <c r="F62" i="1"/>
  <c r="F63" i="1"/>
  <c r="F64" i="1"/>
  <c r="F65" i="1"/>
  <c r="F66" i="1"/>
  <c r="F67" i="1"/>
  <c r="F14" i="1"/>
  <c r="F68" i="1"/>
  <c r="F69" i="1"/>
  <c r="F70" i="1"/>
  <c r="F71" i="1"/>
  <c r="F72" i="1"/>
  <c r="F73" i="1"/>
  <c r="F74" i="1"/>
  <c r="F75" i="1"/>
  <c r="F76" i="1"/>
  <c r="F77" i="1"/>
  <c r="F15" i="1"/>
  <c r="F78" i="1"/>
  <c r="F79" i="1"/>
  <c r="F80" i="1"/>
  <c r="F81" i="1"/>
  <c r="F82" i="1"/>
  <c r="F83" i="1"/>
  <c r="F84" i="1"/>
  <c r="F85" i="1"/>
  <c r="F86" i="1"/>
  <c r="F87" i="1"/>
  <c r="F16" i="1"/>
  <c r="F88" i="1"/>
  <c r="F89" i="1"/>
  <c r="F90" i="1"/>
  <c r="F91" i="1"/>
  <c r="F92" i="1"/>
  <c r="F93" i="1"/>
  <c r="F94" i="1"/>
  <c r="F95" i="1"/>
  <c r="F96" i="1"/>
  <c r="F97" i="1"/>
  <c r="F17" i="1"/>
  <c r="F98" i="1"/>
  <c r="F99" i="1"/>
  <c r="F100" i="1"/>
  <c r="F101" i="1"/>
  <c r="F102" i="1"/>
  <c r="F103" i="1"/>
  <c r="F104" i="1"/>
  <c r="F105" i="1"/>
  <c r="F106" i="1"/>
  <c r="F107" i="1"/>
  <c r="F9" i="1"/>
  <c r="E18" i="1"/>
  <c r="E108" i="1"/>
  <c r="E109" i="1"/>
  <c r="E110" i="1"/>
  <c r="E111" i="1"/>
  <c r="E112" i="1"/>
  <c r="E113" i="1"/>
  <c r="E114" i="1"/>
  <c r="E115" i="1"/>
  <c r="E116" i="1"/>
  <c r="E117" i="1"/>
  <c r="E19" i="1"/>
  <c r="E118" i="1"/>
  <c r="E119" i="1"/>
  <c r="E120" i="1"/>
  <c r="E121" i="1"/>
  <c r="E122" i="1"/>
  <c r="E123" i="1"/>
  <c r="E124" i="1"/>
  <c r="E125" i="1"/>
  <c r="E126" i="1"/>
  <c r="E127" i="1"/>
  <c r="E20" i="1"/>
  <c r="E128" i="1"/>
  <c r="E129" i="1"/>
  <c r="E130" i="1"/>
  <c r="E131" i="1"/>
  <c r="E132" i="1"/>
  <c r="E133" i="1"/>
  <c r="E134" i="1"/>
  <c r="E135" i="1"/>
  <c r="E136" i="1"/>
  <c r="E137" i="1"/>
  <c r="E21" i="1"/>
  <c r="E138" i="1"/>
  <c r="E139" i="1"/>
  <c r="E140" i="1"/>
  <c r="E141" i="1"/>
  <c r="E142" i="1"/>
  <c r="E143" i="1"/>
  <c r="E144" i="1"/>
  <c r="E145" i="1"/>
  <c r="E146" i="1"/>
  <c r="E147" i="1"/>
  <c r="E22" i="1"/>
  <c r="E148" i="1"/>
  <c r="E149" i="1"/>
  <c r="E150" i="1"/>
  <c r="E151" i="1"/>
  <c r="E152" i="1"/>
  <c r="E153" i="1"/>
  <c r="E154" i="1"/>
  <c r="E155" i="1"/>
  <c r="E156" i="1"/>
  <c r="E157" i="1"/>
  <c r="E23" i="1"/>
  <c r="E158" i="1"/>
  <c r="E159" i="1"/>
  <c r="E160" i="1"/>
  <c r="E161" i="1"/>
  <c r="E162" i="1"/>
  <c r="E163" i="1"/>
  <c r="E164" i="1"/>
  <c r="E165" i="1"/>
  <c r="E166" i="1"/>
  <c r="E167" i="1"/>
  <c r="E24" i="1"/>
  <c r="E168" i="1"/>
  <c r="E169" i="1"/>
  <c r="E170" i="1"/>
  <c r="E171" i="1"/>
  <c r="E172" i="1"/>
  <c r="E173" i="1"/>
  <c r="E174" i="1"/>
  <c r="E175" i="1"/>
  <c r="E176" i="1"/>
  <c r="E177" i="1"/>
  <c r="E25" i="1"/>
  <c r="E178" i="1"/>
  <c r="E179" i="1"/>
  <c r="E180" i="1"/>
  <c r="E181" i="1"/>
  <c r="E182" i="1"/>
  <c r="E183" i="1"/>
  <c r="E184" i="1"/>
  <c r="E185" i="1"/>
  <c r="E186" i="1"/>
  <c r="E187" i="1"/>
  <c r="E26" i="1"/>
  <c r="E188" i="1"/>
  <c r="E189" i="1"/>
  <c r="E190" i="1"/>
  <c r="E191" i="1"/>
  <c r="E192" i="1"/>
  <c r="E193" i="1"/>
  <c r="E194" i="1"/>
  <c r="E195" i="1"/>
  <c r="E196" i="1"/>
  <c r="E197" i="1"/>
  <c r="E27" i="1"/>
  <c r="E198" i="1"/>
  <c r="E199" i="1"/>
  <c r="E200" i="1"/>
  <c r="E201" i="1"/>
  <c r="E202" i="1"/>
  <c r="E203" i="1"/>
  <c r="E204" i="1"/>
  <c r="E205" i="1"/>
  <c r="E206" i="1"/>
  <c r="E207" i="1"/>
  <c r="E10" i="1"/>
  <c r="E28" i="1"/>
  <c r="E208" i="1"/>
  <c r="E209" i="1"/>
  <c r="E210" i="1"/>
  <c r="E211" i="1"/>
  <c r="E212" i="1"/>
  <c r="E213" i="1"/>
  <c r="E214" i="1"/>
  <c r="E215" i="1"/>
  <c r="E216" i="1"/>
  <c r="E217" i="1"/>
  <c r="E29" i="1"/>
  <c r="E218" i="1"/>
  <c r="E219" i="1"/>
  <c r="E220" i="1"/>
  <c r="E221" i="1"/>
  <c r="E222" i="1"/>
  <c r="E223" i="1"/>
  <c r="E224" i="1"/>
  <c r="E225" i="1"/>
  <c r="E226" i="1"/>
  <c r="E227" i="1"/>
  <c r="E30" i="1"/>
  <c r="E228" i="1"/>
  <c r="E229" i="1"/>
  <c r="E230" i="1"/>
  <c r="E231" i="1"/>
  <c r="E232" i="1"/>
  <c r="E233" i="1"/>
  <c r="E234" i="1"/>
  <c r="E235" i="1"/>
  <c r="E236" i="1"/>
  <c r="E237" i="1"/>
  <c r="E31" i="1"/>
  <c r="E238" i="1"/>
  <c r="E239" i="1"/>
  <c r="E240" i="1"/>
  <c r="E241" i="1"/>
  <c r="E242" i="1"/>
  <c r="E243" i="1"/>
  <c r="E244" i="1"/>
  <c r="E245" i="1"/>
  <c r="E246" i="1"/>
  <c r="E247" i="1"/>
  <c r="E32" i="1"/>
  <c r="E248" i="1"/>
  <c r="E249" i="1"/>
  <c r="E250" i="1"/>
  <c r="E251" i="1"/>
  <c r="E252" i="1"/>
  <c r="E253" i="1"/>
  <c r="E254" i="1"/>
  <c r="E255" i="1"/>
  <c r="E256" i="1"/>
  <c r="E257" i="1"/>
  <c r="E33" i="1"/>
  <c r="E258" i="1"/>
  <c r="E259" i="1"/>
  <c r="E260" i="1"/>
  <c r="E261" i="1"/>
  <c r="E262" i="1"/>
  <c r="E263" i="1"/>
  <c r="E264" i="1"/>
  <c r="E265" i="1"/>
  <c r="E266" i="1"/>
  <c r="E267" i="1"/>
  <c r="E34" i="1"/>
  <c r="E268" i="1"/>
  <c r="E269" i="1"/>
  <c r="E270" i="1"/>
  <c r="E271" i="1"/>
  <c r="E272" i="1"/>
  <c r="E273" i="1"/>
  <c r="E274" i="1"/>
  <c r="E275" i="1"/>
  <c r="E276" i="1"/>
  <c r="E277" i="1"/>
  <c r="E35" i="1"/>
  <c r="E278" i="1"/>
  <c r="E279" i="1"/>
  <c r="E280" i="1"/>
  <c r="E281" i="1"/>
  <c r="E282" i="1"/>
  <c r="E283" i="1"/>
  <c r="E284" i="1"/>
  <c r="E285" i="1"/>
  <c r="E286" i="1"/>
  <c r="E287" i="1"/>
  <c r="E36" i="1"/>
  <c r="E288" i="1"/>
  <c r="E289" i="1"/>
  <c r="E290" i="1"/>
  <c r="E291" i="1"/>
  <c r="E292" i="1"/>
  <c r="E293" i="1"/>
  <c r="E294" i="1"/>
  <c r="E295" i="1"/>
  <c r="E296" i="1"/>
  <c r="E297" i="1"/>
  <c r="E37" i="1"/>
  <c r="E298" i="1"/>
  <c r="E299" i="1"/>
  <c r="E300" i="1"/>
  <c r="E301" i="1"/>
  <c r="E302" i="1"/>
  <c r="E303" i="1"/>
  <c r="E304" i="1"/>
  <c r="E305" i="1"/>
  <c r="E306" i="1"/>
  <c r="E307" i="1"/>
  <c r="E11" i="1"/>
  <c r="E38" i="1"/>
  <c r="E308" i="1"/>
  <c r="E309" i="1"/>
  <c r="E310" i="1"/>
  <c r="E311" i="1"/>
  <c r="E312" i="1"/>
  <c r="E313" i="1"/>
  <c r="E314" i="1"/>
  <c r="E315" i="1"/>
  <c r="E316" i="1"/>
  <c r="E317" i="1"/>
  <c r="E39" i="1"/>
  <c r="E318" i="1"/>
  <c r="E319" i="1"/>
  <c r="E320" i="1"/>
  <c r="E321" i="1"/>
  <c r="E322" i="1"/>
  <c r="E323" i="1"/>
  <c r="E324" i="1"/>
  <c r="E325" i="1"/>
  <c r="E326" i="1"/>
  <c r="E327" i="1"/>
  <c r="E40" i="1"/>
  <c r="E328" i="1"/>
  <c r="E329" i="1"/>
  <c r="E330" i="1"/>
  <c r="E331" i="1"/>
  <c r="E332" i="1"/>
  <c r="E333" i="1"/>
  <c r="E334" i="1"/>
  <c r="E335" i="1"/>
  <c r="E336" i="1"/>
  <c r="E337" i="1"/>
  <c r="E41" i="1"/>
  <c r="E338" i="1"/>
  <c r="E339" i="1"/>
  <c r="E340" i="1"/>
  <c r="E341" i="1"/>
  <c r="E342" i="1"/>
  <c r="E343" i="1"/>
  <c r="E344" i="1"/>
  <c r="E345" i="1"/>
  <c r="E346" i="1"/>
  <c r="E347" i="1"/>
  <c r="E42" i="1"/>
  <c r="E348" i="1"/>
  <c r="E349" i="1"/>
  <c r="E350" i="1"/>
  <c r="E351" i="1"/>
  <c r="E352" i="1"/>
  <c r="E353" i="1"/>
  <c r="E354" i="1"/>
  <c r="E355" i="1"/>
  <c r="E356" i="1"/>
  <c r="E357" i="1"/>
  <c r="E43" i="1"/>
  <c r="E358" i="1"/>
  <c r="E359" i="1"/>
  <c r="E360" i="1"/>
  <c r="E361" i="1"/>
  <c r="E362" i="1"/>
  <c r="E363" i="1"/>
  <c r="E364" i="1"/>
  <c r="E365" i="1"/>
  <c r="E366" i="1"/>
  <c r="E367" i="1"/>
  <c r="E44" i="1"/>
  <c r="E368" i="1"/>
  <c r="E369" i="1"/>
  <c r="E370" i="1"/>
  <c r="E371" i="1"/>
  <c r="E372" i="1"/>
  <c r="E373" i="1"/>
  <c r="E374" i="1"/>
  <c r="E375" i="1"/>
  <c r="E376" i="1"/>
  <c r="E377" i="1"/>
  <c r="E45" i="1"/>
  <c r="E378" i="1"/>
  <c r="E379" i="1"/>
  <c r="E380" i="1"/>
  <c r="E381" i="1"/>
  <c r="E382" i="1"/>
  <c r="E383" i="1"/>
  <c r="E384" i="1"/>
  <c r="E385" i="1"/>
  <c r="E386" i="1"/>
  <c r="E387" i="1"/>
  <c r="E46" i="1"/>
  <c r="E388" i="1"/>
  <c r="E389" i="1"/>
  <c r="E390" i="1"/>
  <c r="E391" i="1"/>
  <c r="E392" i="1"/>
  <c r="E393" i="1"/>
  <c r="E394" i="1"/>
  <c r="E395" i="1"/>
  <c r="E396" i="1"/>
  <c r="E397" i="1"/>
  <c r="E47" i="1"/>
  <c r="E398" i="1"/>
  <c r="E399" i="1"/>
  <c r="E400" i="1"/>
  <c r="E401" i="1"/>
  <c r="E402" i="1"/>
  <c r="E403" i="1"/>
  <c r="E404" i="1"/>
  <c r="E405" i="1"/>
  <c r="E406" i="1"/>
  <c r="E407" i="1"/>
  <c r="E12" i="1"/>
  <c r="E48" i="1"/>
  <c r="E408" i="1"/>
  <c r="E409" i="1"/>
  <c r="E410" i="1"/>
  <c r="E411" i="1"/>
  <c r="E412" i="1"/>
  <c r="E413" i="1"/>
  <c r="E414" i="1"/>
  <c r="E415" i="1"/>
  <c r="E416" i="1"/>
  <c r="E417" i="1"/>
  <c r="E49" i="1"/>
  <c r="E418" i="1"/>
  <c r="E419" i="1"/>
  <c r="E420" i="1"/>
  <c r="E421" i="1"/>
  <c r="E422" i="1"/>
  <c r="E423" i="1"/>
  <c r="E424" i="1"/>
  <c r="E425" i="1"/>
  <c r="E426" i="1"/>
  <c r="E427" i="1"/>
  <c r="E50" i="1"/>
  <c r="E428" i="1"/>
  <c r="E429" i="1"/>
  <c r="E430" i="1"/>
  <c r="E431" i="1"/>
  <c r="E432" i="1"/>
  <c r="E433" i="1"/>
  <c r="E434" i="1"/>
  <c r="E435" i="1"/>
  <c r="E436" i="1"/>
  <c r="E437" i="1"/>
  <c r="E51" i="1"/>
  <c r="E438" i="1"/>
  <c r="E439" i="1"/>
  <c r="E440" i="1"/>
  <c r="E441" i="1"/>
  <c r="E442" i="1"/>
  <c r="E443" i="1"/>
  <c r="E444" i="1"/>
  <c r="E445" i="1"/>
  <c r="E446" i="1"/>
  <c r="E447" i="1"/>
  <c r="E52" i="1"/>
  <c r="E448" i="1"/>
  <c r="E449" i="1"/>
  <c r="E450" i="1"/>
  <c r="E451" i="1"/>
  <c r="E452" i="1"/>
  <c r="E453" i="1"/>
  <c r="E454" i="1"/>
  <c r="E455" i="1"/>
  <c r="E456" i="1"/>
  <c r="E457" i="1"/>
  <c r="E53" i="1"/>
  <c r="E458" i="1"/>
  <c r="E459" i="1"/>
  <c r="E460" i="1"/>
  <c r="E461" i="1"/>
  <c r="E462" i="1"/>
  <c r="E463" i="1"/>
  <c r="E464" i="1"/>
  <c r="E465" i="1"/>
  <c r="E466" i="1"/>
  <c r="E467" i="1"/>
  <c r="E54" i="1"/>
  <c r="E468" i="1"/>
  <c r="E469" i="1"/>
  <c r="E470" i="1"/>
  <c r="E471" i="1"/>
  <c r="E472" i="1"/>
  <c r="E473" i="1"/>
  <c r="E474" i="1"/>
  <c r="E475" i="1"/>
  <c r="E476" i="1"/>
  <c r="E477" i="1"/>
  <c r="E55" i="1"/>
  <c r="E478" i="1"/>
  <c r="E479" i="1"/>
  <c r="E480" i="1"/>
  <c r="E481" i="1"/>
  <c r="E482" i="1"/>
  <c r="E483" i="1"/>
  <c r="E484" i="1"/>
  <c r="E485" i="1"/>
  <c r="E486" i="1"/>
  <c r="E487" i="1"/>
  <c r="E56" i="1"/>
  <c r="E488" i="1"/>
  <c r="E489" i="1"/>
  <c r="E490" i="1"/>
  <c r="E491" i="1"/>
  <c r="E492" i="1"/>
  <c r="E493" i="1"/>
  <c r="E494" i="1"/>
  <c r="E495" i="1"/>
  <c r="E496" i="1"/>
  <c r="E497" i="1"/>
  <c r="E57" i="1"/>
  <c r="E498" i="1"/>
  <c r="E499" i="1"/>
  <c r="E500" i="1"/>
  <c r="E501" i="1"/>
  <c r="E502" i="1"/>
  <c r="E503" i="1"/>
  <c r="E504" i="1"/>
  <c r="E505" i="1"/>
  <c r="E506" i="1"/>
  <c r="E507" i="1"/>
  <c r="E13" i="1"/>
  <c r="E58" i="1"/>
  <c r="E508" i="1"/>
  <c r="E509" i="1"/>
  <c r="E510" i="1"/>
  <c r="E511" i="1"/>
  <c r="E512" i="1"/>
  <c r="E513" i="1"/>
  <c r="E514" i="1"/>
  <c r="E515" i="1"/>
  <c r="E516" i="1"/>
  <c r="E517" i="1"/>
  <c r="E59" i="1"/>
  <c r="E518" i="1"/>
  <c r="E519" i="1"/>
  <c r="E520" i="1"/>
  <c r="E521" i="1"/>
  <c r="E522" i="1"/>
  <c r="E523" i="1"/>
  <c r="E524" i="1"/>
  <c r="E525" i="1"/>
  <c r="E526" i="1"/>
  <c r="E527" i="1"/>
  <c r="E60" i="1"/>
  <c r="E528" i="1"/>
  <c r="E529" i="1"/>
  <c r="E530" i="1"/>
  <c r="E531" i="1"/>
  <c r="E532" i="1"/>
  <c r="E533" i="1"/>
  <c r="E534" i="1"/>
  <c r="E535" i="1"/>
  <c r="E536" i="1"/>
  <c r="E537" i="1"/>
  <c r="E61" i="1"/>
  <c r="E538" i="1"/>
  <c r="E539" i="1"/>
  <c r="E540" i="1"/>
  <c r="E541" i="1"/>
  <c r="E542" i="1"/>
  <c r="E543" i="1"/>
  <c r="E544" i="1"/>
  <c r="E545" i="1"/>
  <c r="E546" i="1"/>
  <c r="E547" i="1"/>
  <c r="E62" i="1"/>
  <c r="E63" i="1"/>
  <c r="E64" i="1"/>
  <c r="E65" i="1"/>
  <c r="E66" i="1"/>
  <c r="E67" i="1"/>
  <c r="E14" i="1"/>
  <c r="E68" i="1"/>
  <c r="E69" i="1"/>
  <c r="E70" i="1"/>
  <c r="E71" i="1"/>
  <c r="E72" i="1"/>
  <c r="E73" i="1"/>
  <c r="E74" i="1"/>
  <c r="E75" i="1"/>
  <c r="E76" i="1"/>
  <c r="E77" i="1"/>
  <c r="E15" i="1"/>
  <c r="E78" i="1"/>
  <c r="E79" i="1"/>
  <c r="E80" i="1"/>
  <c r="E81" i="1"/>
  <c r="E82" i="1"/>
  <c r="E83" i="1"/>
  <c r="E84" i="1"/>
  <c r="E85" i="1"/>
  <c r="E86" i="1"/>
  <c r="E87" i="1"/>
  <c r="E16" i="1"/>
  <c r="E88" i="1"/>
  <c r="E89" i="1"/>
  <c r="E90" i="1"/>
  <c r="E91" i="1"/>
  <c r="E92" i="1"/>
  <c r="E93" i="1"/>
  <c r="E94" i="1"/>
  <c r="E95" i="1"/>
  <c r="E96" i="1"/>
  <c r="E97" i="1"/>
  <c r="E17" i="1"/>
  <c r="E98" i="1"/>
  <c r="E99" i="1"/>
  <c r="E100" i="1"/>
  <c r="E101" i="1"/>
  <c r="E102" i="1"/>
  <c r="E103" i="1"/>
  <c r="E104" i="1"/>
  <c r="E105" i="1"/>
  <c r="E106" i="1"/>
  <c r="E107" i="1"/>
  <c r="E9" i="1"/>
</calcChain>
</file>

<file path=xl/sharedStrings.xml><?xml version="1.0" encoding="utf-8"?>
<sst xmlns="http://schemas.openxmlformats.org/spreadsheetml/2006/main" count="3420" uniqueCount="1492">
  <si>
    <t>Change history</t>
  </si>
  <si>
    <t>Date</t>
  </si>
  <si>
    <t>Change</t>
  </si>
  <si>
    <t>By</t>
  </si>
  <si>
    <t>28.01.2026</t>
  </si>
  <si>
    <t>Added change history sheet
Added license types 542 - 557 to sheet Sheet1</t>
  </si>
  <si>
    <t>Georg Karpala</t>
  </si>
  <si>
    <t>License Type Overview</t>
  </si>
  <si>
    <t>(updated February 2024)</t>
  </si>
  <si>
    <t>treter</t>
  </si>
  <si>
    <t>Quote Relevant Data</t>
  </si>
  <si>
    <t>Additional Criteria (e.g., aavErp etc.)</t>
  </si>
  <si>
    <t>internal data used for VLOOKUP - do not delete</t>
  </si>
  <si>
    <t>Qualified for pricelist &gt;= 2024</t>
  </si>
  <si>
    <t>Code</t>
  </si>
  <si>
    <t>Name</t>
  </si>
  <si>
    <t>Description</t>
  </si>
  <si>
    <t>LicenseDuration</t>
  </si>
  <si>
    <t>MaintenanceDuration</t>
  </si>
  <si>
    <t>ExpectedDeliveryTime</t>
  </si>
  <si>
    <t>PaymentModel</t>
  </si>
  <si>
    <t>ExpectedInvoiceDate</t>
  </si>
  <si>
    <t>GrantOfRights</t>
  </si>
  <si>
    <t>Profile</t>
  </si>
  <si>
    <t>MandatoryOptional_ID</t>
  </si>
  <si>
    <t>LicenseMethod</t>
  </si>
  <si>
    <t>Cost_Center</t>
  </si>
  <si>
    <t>Discount_Rate</t>
  </si>
  <si>
    <t>Operational_Profit_Rate</t>
  </si>
  <si>
    <t>OperationalProfitType</t>
  </si>
  <si>
    <t>Perpetual</t>
  </si>
  <si>
    <t>Support_Hours_Amount</t>
  </si>
  <si>
    <t>UpdateRight</t>
  </si>
  <si>
    <t>Apply_Withholding_Tax</t>
  </si>
  <si>
    <t>ExpectedDeliveryTime_ID</t>
  </si>
  <si>
    <t>ExpectedInvoiceDate_ID</t>
  </si>
  <si>
    <t>GrantOfRights_ID</t>
  </si>
  <si>
    <t>License_Method_ID</t>
  </si>
  <si>
    <t>LicenseDuration_ID</t>
  </si>
  <si>
    <t>MaintenanceDuration_ID</t>
  </si>
  <si>
    <t>Operational_Profit_Type_ID</t>
  </si>
  <si>
    <t>PaymentModel_ID</t>
  </si>
  <si>
    <t>UpdateRight_ID</t>
  </si>
  <si>
    <t>yes</t>
  </si>
  <si>
    <t>1</t>
  </si>
  <si>
    <t>Dongled License</t>
  </si>
  <si>
    <t>- Dongled License (as defined in Elektrobit T&amp;C)
- Including MAINTENANCE (as defined on page "Definitions")</t>
  </si>
  <si>
    <t>6400</t>
  </si>
  <si>
    <t>TRUE</t>
  </si>
  <si>
    <t>2</t>
  </si>
  <si>
    <t>Floating License</t>
  </si>
  <si>
    <t>- Floating License per seat (as defined in Elektrobit T&amp;C)
- Including MAINTENANCE (as defined on page "Definitions")</t>
  </si>
  <si>
    <t>3</t>
  </si>
  <si>
    <t>Dongled License Support &amp; Maintenance</t>
  </si>
  <si>
    <t>- Extension of MAINTENANCE duration (as defined on page "Definitions")
- Valid for existing Dongled License (as defined in Elektrobit T&amp;C)</t>
  </si>
  <si>
    <t>FALSE</t>
  </si>
  <si>
    <t>4</t>
  </si>
  <si>
    <t>Floating License Support &amp; Maintenance</t>
  </si>
  <si>
    <t>- Extension of MAINTENANCE duration (as defined on page "Definitions")
- Valid for existing Floating License per seat (as defined in Elektrobit T&amp;C)</t>
  </si>
  <si>
    <t>5</t>
  </si>
  <si>
    <t>Prototyping Project License</t>
  </si>
  <si>
    <t>Limited development license for one project, one µC derivate, one basic software version, no production license included, can be used for developing prototypes.</t>
  </si>
  <si>
    <t>6</t>
  </si>
  <si>
    <t>Concept License Maintenance</t>
  </si>
  <si>
    <t>Includes updates, e.g. patches and service release and 40% discount when upgrading to new AUTOSAR version.</t>
  </si>
  <si>
    <t>7</t>
  </si>
  <si>
    <t>Firmware Support &amp; Maintenance</t>
  </si>
  <si>
    <t>Extension of firmware updates and patch releases for one year.</t>
  </si>
  <si>
    <t>8</t>
  </si>
  <si>
    <t>Hardware</t>
  </si>
  <si>
    <t>- ELEKTROBIT HARDWARE device
- Specification defined in section "Products and services"</t>
  </si>
  <si>
    <t>9</t>
  </si>
  <si>
    <t>Training (EB AUTOSAR)</t>
  </si>
  <si>
    <t>10</t>
  </si>
  <si>
    <t>Package "Basic"</t>
  </si>
  <si>
    <t>Three months time-limited, 2 full featured licenses for EB tresos Studio and EB tresos AutoCore. Designated engineering services, incl. travel expenses - Germany only.</t>
  </si>
  <si>
    <t>11</t>
  </si>
  <si>
    <t>Concept License</t>
  </si>
  <si>
    <t>The CUSTOMER gets the right to use the license under the following condition: 
a. The run-time software is used for developing demonstrator systems or proof of concepts of one CUSTOMER PRODUCT before the final nomination to a Vehicle OEM Brand mass production project. 
b. Limited license duration. As long as the CUSTOMER PRODUCT has not been nominated by an Vehicle OEM Brand, a new concept license can be purchased to extend the validity for a further year. 
c. The run-time software is used for one µC derivate and compiler &amp; version only. 
- Including MAINTENANCE (as defined on page "Definitions") 
Additionally, the restrictions according to the LICENSE PROFILE defined on page "Scope of license" apply.</t>
  </si>
  <si>
    <t>12</t>
  </si>
  <si>
    <t>Object Code License</t>
  </si>
  <si>
    <t>13</t>
  </si>
  <si>
    <t>Firmware</t>
  </si>
  <si>
    <t>14</t>
  </si>
  <si>
    <t>Company License (EB GUIDE)</t>
  </si>
  <si>
    <t>- Perpetual DEVELOPMENT LICENSE
- Includes free UPDATES to new product versions within the same primary version number for the first year.</t>
  </si>
  <si>
    <t>15</t>
  </si>
  <si>
    <t>Support Package (EB tresos)</t>
  </si>
  <si>
    <t>6500</t>
  </si>
  <si>
    <t>16</t>
  </si>
  <si>
    <t>Node Locked License Maintenance (EB GUIDE)</t>
  </si>
  <si>
    <t>- Per seat
- Includes free UPDATES to new product versions within the same primary version number for 12 months. 
- Includes 10h support for 12 months
- Node locked licenses for EB GUIDE require a permanent LAN adapter connected. WLAN network connection cannot be supported with the official Oracle Java JRE delivered with EB GUIDE.</t>
  </si>
  <si>
    <t>17</t>
  </si>
  <si>
    <t>Company License SW-Maintenance (EB GUIDE)</t>
  </si>
  <si>
    <t>- Includes free UPDATES to new product versions within the same primary version number for 12 months.</t>
  </si>
  <si>
    <t>18</t>
  </si>
  <si>
    <t>Project License (OsekCore)</t>
  </si>
  <si>
    <t xml:space="preserve">
Project License for one OEM, one ECU; Including one year maintenance.</t>
  </si>
  <si>
    <t>19</t>
  </si>
  <si>
    <t>Project License Maintenance (OsekCore)</t>
  </si>
  <si>
    <t>Extended maintenance for additional year.</t>
  </si>
  <si>
    <t>20</t>
  </si>
  <si>
    <t>Project License</t>
  </si>
  <si>
    <t>The CUSTOMER gets the right to use the license under the following condition: 
a. The run-time software is used for one Vehicle OEM Brand only. 
b. The run-time software is used for one Model generation only. 
c. The run-time software is used for one CUSTOMER PRODUCT only. 
d. The run-time software is used in one ECU software version only. 
e. The run-time software is used for one µC derivate and compiler version only. 
- Including MAINTENANCE (as defined on page "Definitions") 
Additionally, the restrictions according to the LICENSE PROFILE defined on page "Scope of license" apply.</t>
  </si>
  <si>
    <t>21</t>
  </si>
  <si>
    <t>Development Maintenance for Project License</t>
  </si>
  <si>
    <t>- Extension of MAINTENANCE duration (as defined on page "Definitions")
- Valid for existing Project License
Please note:
- Updates and bugfixes are provided for the latest software version only.
- Tested only with the latest software version of related products (e.g., ELEKTROBIT TOOLING).</t>
  </si>
  <si>
    <t>22</t>
  </si>
  <si>
    <t>License Upgrade (Concept to Project)</t>
  </si>
  <si>
    <t xml:space="preserve">
License upgrade does not renew maintenance period.</t>
  </si>
  <si>
    <t>23</t>
  </si>
  <si>
    <t>Product Line License Maintenance (OsekCore)</t>
  </si>
  <si>
    <t>Extended maintenance per additional year.</t>
  </si>
  <si>
    <t>24</t>
  </si>
  <si>
    <t>Platform Development License Software Maint. Service</t>
  </si>
  <si>
    <t xml:space="preserve">
Includes software upgrades to new AutoCore versions, updates and patch releases for the µC derivate.</t>
  </si>
  <si>
    <t>25</t>
  </si>
  <si>
    <t>Dongled Evaluation License</t>
  </si>
  <si>
    <t>Three month time-limited, full-featured license. Max. two extensions of one month each.</t>
  </si>
  <si>
    <t>26</t>
  </si>
  <si>
    <t>Floating Evaluation License</t>
  </si>
  <si>
    <t>The license is valid for the ordering company for the purpose of evaluating Elektrobit’s (EB) software in terms of usability, included features and applicability.
EB recognizes correct use, if the evaluation license agreement is filled out and signed by CUSTOMER and EB.</t>
  </si>
  <si>
    <t>27</t>
  </si>
  <si>
    <t>Dongled License incl. Firmware License</t>
  </si>
  <si>
    <t>Perpetual, full-featured license. Includes one year software updates and patch releases.</t>
  </si>
  <si>
    <t>28</t>
  </si>
  <si>
    <t>Partner License</t>
  </si>
  <si>
    <t>- Single-User Licenses (as defined in Elektrobit T&amp;C) with technical restriction to only configure partners modules
- Includes the right to distribute
- Including MAINTENANCE (as defined on page "Definitions")</t>
  </si>
  <si>
    <t>29</t>
  </si>
  <si>
    <t>Server Based License</t>
  </si>
  <si>
    <t>Perpetual floating license, server based.</t>
  </si>
  <si>
    <t>30</t>
  </si>
  <si>
    <t>Maintenance Dongled License (EB GUIDE)</t>
  </si>
  <si>
    <t xml:space="preserve">
- Annual fee
- Fixing of errors reported by licensee.
- Minor version updates during 12 months (including new features)
- Command Server access</t>
  </si>
  <si>
    <t>31</t>
  </si>
  <si>
    <t>Company License Support &amp; Maintenance</t>
  </si>
  <si>
    <t xml:space="preserve">
- Annual fee;</t>
  </si>
  <si>
    <t>32</t>
  </si>
  <si>
    <t>Upgrade (EB GUIDE)</t>
  </si>
  <si>
    <t>- UPGRADE to new product version within the next primary version number.</t>
  </si>
  <si>
    <t>33</t>
  </si>
  <si>
    <t>Dongled License (EB GUIDE)</t>
  </si>
  <si>
    <t>- Perpetual DEVELOPMENT LICENSE per seat
- Includes free UPDATES to new product versions within the same primary version number for the first year. 
- Includes 10h support for the first year</t>
  </si>
  <si>
    <t>34</t>
  </si>
  <si>
    <t>Dongled Temporary License</t>
  </si>
  <si>
    <t xml:space="preserve">
Time limited license.</t>
  </si>
  <si>
    <t>35</t>
  </si>
  <si>
    <t>Development License (one developer seat)</t>
  </si>
  <si>
    <t>Perpetual, full featured license for developing applications and samples, production is not covered. 12 months maintenance and support via phone and e-mail included.</t>
  </si>
  <si>
    <t>36</t>
  </si>
  <si>
    <t>Development License (one developer seat) Support &amp; Maintenance</t>
  </si>
  <si>
    <t>Extension of software updates and patch releases for one year.
Contains ten hours of support per developer seat.</t>
  </si>
  <si>
    <t>37</t>
  </si>
  <si>
    <t>Project License (one developer seat)</t>
  </si>
  <si>
    <t>Full development and production license for one single ECU project based on one µC derivative and one compiler version. 12 months maintenance and support via phone and email included.</t>
  </si>
  <si>
    <t>38</t>
  </si>
  <si>
    <t>Project License (one developer seat) Support &amp; Maintenance</t>
  </si>
  <si>
    <t>39</t>
  </si>
  <si>
    <t>Project License (three developer seats, including "Porting Package - compiler version" or "Porting Package - derivative")</t>
  </si>
  <si>
    <t>Full development and production license for one single ECU project based on one µC derivative and one compiler version. 12 months maintenance and support via phone and e-mail included.</t>
  </si>
  <si>
    <t>40</t>
  </si>
  <si>
    <t>Project License (three developer seats, including "Porting Package - compiler version" or "Porting Package - derivative") Support &amp; Maintenance</t>
  </si>
  <si>
    <t>41</t>
  </si>
  <si>
    <t>Product Line License (five developer seats)</t>
  </si>
  <si>
    <t>Full development and production license for all ECU projects in one product line of one company based on one µC family and one compiler version. Support for one dedicated µC derivative included. 12 months maintenance and support via phone and e-mail included.</t>
  </si>
  <si>
    <t>42</t>
  </si>
  <si>
    <t>Product Line License (five developer seats) Support &amp; Maintenance</t>
  </si>
  <si>
    <t>Extension of software updates and patch releases for one year.
Contains 10 hours of support per developer seat.</t>
  </si>
  <si>
    <t>43</t>
  </si>
  <si>
    <t>Company License (ten developer seats)</t>
  </si>
  <si>
    <t>Full development and production license for all ECU projects in one company based on one µC family and one compiler version. Support for one dedicated µC derivative included. 12 months maintenance and support via phone and e-mail included.</t>
  </si>
  <si>
    <t>44</t>
  </si>
  <si>
    <t>Company License (ten developer seats) Support &amp; Maintenance</t>
  </si>
  <si>
    <t>45</t>
  </si>
  <si>
    <t>Additional developer seat</t>
  </si>
  <si>
    <t>46</t>
  </si>
  <si>
    <t>Hardware Services</t>
  </si>
  <si>
    <t>- ELEKTROBIT HARDWARE-related service
- Scope defined in section "Products and services".</t>
  </si>
  <si>
    <t>47</t>
  </si>
  <si>
    <t>Company License for OEM</t>
  </si>
  <si>
    <t>The CUSTOMER gets the right to use the license under the following condition:
a. The run-time software is used for one Vehicle OEM Brand only.
b. The run-time software is used for one µC family and compiler version only.
- Including MAINTENANCE (as defined on page "Definitions")
Additionally, the restrictions according to the LICENSE PROFILE defined on page "Scope of license" apply.</t>
  </si>
  <si>
    <t>48</t>
  </si>
  <si>
    <t>OEM specific Domain License</t>
  </si>
  <si>
    <t>The product is used for production projects restricted to one application domain. We recognize the following application domains:
a. Body and Comfort
b. Powertrain
c. Chassis
d. Occupants and Passenger Safety
e. Multimedia, Telematics and Human-Machine Interface
Typical use case for this license is to develop and produce ECUs for one application domain for different vehicles.
Production: yes; µC: family; Number of projects: unlimited; Duration: perpetual;</t>
  </si>
  <si>
    <t>49</t>
  </si>
  <si>
    <t>OEM-restricted Product Line License</t>
  </si>
  <si>
    <t>The CUSTOMER gets the right to use the license under the following condition: 
a. The run-time software is used for one Vehicle OEM Brand only. 
b. The run-time software is used for one CUSTOMER PRODUCT only. 
c. The run-time software is used for one µC derivate and compiler version only. 
- Including MAINTENANCE (as defined on page "Definitions") 
Additionally, the restrictions according to the LICENSE PROFILE defined on page "Scope of license" apply.</t>
  </si>
  <si>
    <t>50</t>
  </si>
  <si>
    <t>Shipment</t>
  </si>
  <si>
    <t>51</t>
  </si>
  <si>
    <t>EB tresos AutoCore Bootloader for BMW (CAN)</t>
  </si>
  <si>
    <t>The Reference Bootloader can be used to update the Application of an ECU by using diagnostic communication. It integrates all bootloading relevant BMW specific system functionalities. The Reference Bootloader / BootManager are already pre-configured to update the EB tresos AutoCore Reference Application for BMW (CAN).</t>
  </si>
  <si>
    <t>52</t>
  </si>
  <si>
    <t>Domain License Maintenance (AutoCore)</t>
  </si>
  <si>
    <t>53</t>
  </si>
  <si>
    <t>SW-Assurance (EB GUIDE)</t>
  </si>
  <si>
    <t>54</t>
  </si>
  <si>
    <t>Customization Services Qualification</t>
  </si>
  <si>
    <t>Verification if OS release is compatible with the derivatives, compiler release and toolchain. Verification of custom compiler options. No adaption of the Os source code included.</t>
  </si>
  <si>
    <t>55</t>
  </si>
  <si>
    <t>Customization Services Porting &amp; Qualification</t>
  </si>
  <si>
    <t>Porting of the OS to support new derivatives or compiler releases including qualification tests.</t>
  </si>
  <si>
    <t>56</t>
  </si>
  <si>
    <t>Training (EB FlexRay)</t>
  </si>
  <si>
    <t>57</t>
  </si>
  <si>
    <t>Eth Driver - Porting to new target</t>
  </si>
  <si>
    <t>Valid license of EB IP-stack and MCAL Eth driver, including stack qualification required</t>
  </si>
  <si>
    <t>58</t>
  </si>
  <si>
    <t>Development License (SourceCode)</t>
  </si>
  <si>
    <t>59</t>
  </si>
  <si>
    <t>Project License (Source Code)</t>
  </si>
  <si>
    <t>The product is used for production projects restricted to one ECU project. We recognize correct use, if all of the following conditions are met:
a. The run-time software is developed for one ECU, only.
b. The ECU is used for one car platform of one OEM brand, only.
Typical use case: to develop and produce one ECU for one vehicle platform.
Production: yes; µC: derivative; Number of projects: one; Duration: perpetual</t>
  </si>
  <si>
    <t>60</t>
  </si>
  <si>
    <t>Support of Ethernet Driver (MCAL)</t>
  </si>
  <si>
    <t>61</t>
  </si>
  <si>
    <t>Support of additional features, training etc.</t>
  </si>
  <si>
    <t>62</t>
  </si>
  <si>
    <t>Evaluation / A-Sample License (Object-Code) Support &amp; Maintenance</t>
  </si>
  <si>
    <t>63</t>
  </si>
  <si>
    <t>Development Maintenance (TCP/IP)</t>
  </si>
  <si>
    <t>- Valid for one year.
- Customer get access to EB product support team and known problems will be reported.
- Updates and patch releases.</t>
  </si>
  <si>
    <t>64</t>
  </si>
  <si>
    <t>Production Maintenance (TCP/IP)</t>
  </si>
  <si>
    <t>65</t>
  </si>
  <si>
    <t>Dongled Evaluation License (EB GUIDE)</t>
  </si>
  <si>
    <t>- Includes up to three seats, full featured dongle based evaluation licenses.</t>
  </si>
  <si>
    <t>66</t>
  </si>
  <si>
    <t>Site License (EB GUIDE)</t>
  </si>
  <si>
    <t xml:space="preserve">
- Basic development license</t>
  </si>
  <si>
    <t>67</t>
  </si>
  <si>
    <t>Site License Maintenance (EB GUIDE)</t>
  </si>
  <si>
    <t>68</t>
  </si>
  <si>
    <t>0 to 100.000 units</t>
  </si>
  <si>
    <t>69</t>
  </si>
  <si>
    <t>100.001 to 200.000 units</t>
  </si>
  <si>
    <t>70</t>
  </si>
  <si>
    <t>200.001 to 500.000 units</t>
  </si>
  <si>
    <t>71</t>
  </si>
  <si>
    <t>500.001 to 1.000.000 units</t>
  </si>
  <si>
    <t>72</t>
  </si>
  <si>
    <t>more than 1.000.000 units</t>
  </si>
  <si>
    <t>73</t>
  </si>
  <si>
    <t>more than 250.000</t>
  </si>
  <si>
    <t>74</t>
  </si>
  <si>
    <t>Node Locked License, Run-time (EB Assist ADTF)</t>
  </si>
  <si>
    <t>- Perpetual RUNTIME LICENSE per seat
- Includes free UPDATES to new product versions within the same primary version number for the first year
- Includes all standard toolboxes</t>
  </si>
  <si>
    <t>75</t>
  </si>
  <si>
    <t>Node Locked License, Developer (EB Assist ADTF)</t>
  </si>
  <si>
    <t>- Perpetual DEVELOPMENT LICENSE per seat;
-Includes free UPDATES to new product versions within the same primary version number for the first year.
-Includes 10h 1st Level Support
-Includes all standard toolboxes</t>
  </si>
  <si>
    <t>76</t>
  </si>
  <si>
    <t>Node Locked License 10 User</t>
  </si>
  <si>
    <t xml:space="preserve">
- Perpetual DEVELOPMENT LICENSE per seat:
- Includes free UPDATES to new product versions within the same primary version number for the first year.
- Includes 10 h support for the first year.</t>
  </si>
  <si>
    <t>77</t>
  </si>
  <si>
    <t>Node Locked License 20 User</t>
  </si>
  <si>
    <t xml:space="preserve">
- Perpetual DEVELOPMENT LICENSE per seat;
- Includes free UPDATES to new product versions within the same primary version number for the first year.
- Includes 10 h support for the first year.</t>
  </si>
  <si>
    <t>78</t>
  </si>
  <si>
    <t>Node Locked License, Development, 3 months (EB Assist ADTF)</t>
  </si>
  <si>
    <t>- Per seat
- Includes free UPDATES to new product versions within the same primary version number
- Includes 3h support</t>
  </si>
  <si>
    <t>79</t>
  </si>
  <si>
    <t>Floating License, Developer (EB Assist ADTF)</t>
  </si>
  <si>
    <t>- Perpetual DEVELOPMENT LICENSE per seat
- Includes free UPDATES to new product versions within the same primary version number for the first year
- Includes 10h 1st Level Support
- Includes all standard toolboxes</t>
  </si>
  <si>
    <t>80</t>
  </si>
  <si>
    <t>Floating License 10 Users</t>
  </si>
  <si>
    <t xml:space="preserve">
- Perpetual DEVELOPMENT LICENSE per seat;
- Includes free UPDATES to new product versions within the same primary version number for the first year. 
- Includes 10 h support for the first year.</t>
  </si>
  <si>
    <t>81</t>
  </si>
  <si>
    <t>Node Locked License, Development, 6 months (EB Assist ADTF)</t>
  </si>
  <si>
    <t>- Per seat
- Includes free UPDATES to new product versions within the same primary version number
- Includes 5h support</t>
  </si>
  <si>
    <t>82</t>
  </si>
  <si>
    <t>Node Locked License, Development, 12 months (EB Assist ADTF)</t>
  </si>
  <si>
    <t>- Per seat
- Includes free UPDATES to new product versions within the same primary version number
- Includes 10h support</t>
  </si>
  <si>
    <t>83</t>
  </si>
  <si>
    <t>Node Locked License Maintenance Extension, Developer (EB Assist ADTF)</t>
  </si>
  <si>
    <t>- Per seat
- Includes free UPDATES to new product versions within the same primary version number for 12 months
- Includes 10h 1st Level Support
- Includes all standard toolboxes</t>
  </si>
  <si>
    <t>84</t>
  </si>
  <si>
    <t>Node Locked License 10 User - Maintenance</t>
  </si>
  <si>
    <t xml:space="preserve">
- Includes free UPDATES to new product versions within the same primary version number for the first year.
- Includes 10 h support for the first year.</t>
  </si>
  <si>
    <t>85</t>
  </si>
  <si>
    <t>Support Package (EB Assist ADTF)</t>
  </si>
  <si>
    <t>- Elektrobit product-related support by phone or email. Quota valid for 12 months</t>
  </si>
  <si>
    <t>86</t>
  </si>
  <si>
    <t>University Project License</t>
  </si>
  <si>
    <t>87</t>
  </si>
  <si>
    <t>Platform Package</t>
  </si>
  <si>
    <t>88</t>
  </si>
  <si>
    <t>Domain License</t>
  </si>
  <si>
    <t>The product is used for production projects restricted to one application domain. We recognize the following application domains:
a. Body and Comfort
b. Powertrain
c. Chassis
d. Occupants and Passenger Safety
e. Multimedia, Telematics and Human-Machine Interface
Typical use case for this license is to develop and produce ECUs for one application domain for different vehicles.
Production: yes; µC: family; Number of projects: unlimited; Duration:perpetual</t>
  </si>
  <si>
    <t>89</t>
  </si>
  <si>
    <t>Domain License Maintenance (OsekCore)</t>
  </si>
  <si>
    <t>Extended maintenance per additional year;</t>
  </si>
  <si>
    <t>90</t>
  </si>
  <si>
    <t>Company License for Tier 1</t>
  </si>
  <si>
    <t>The CUSTOMER gets the right to use the license under the following condition:
a. The run-time software is used for one µC family and compiler version only.
- Including MAINTENANCE (as defined on page "Definitions")
Additionally, the restrictions according to the LICENSE PROFILE defined on page "Scope of license" apply.</t>
  </si>
  <si>
    <t>91</t>
  </si>
  <si>
    <t>Company License Maintenance (OsekCore)</t>
  </si>
  <si>
    <t>92</t>
  </si>
  <si>
    <t>Support for new Derivative/Compiler/Toolchain</t>
  </si>
  <si>
    <t>Can not be ordered without project or product line license.</t>
  </si>
  <si>
    <t>93</t>
  </si>
  <si>
    <t>Support for one Project</t>
  </si>
  <si>
    <t>Configuration and setup support for a project (one day-support-included). To be offered mandatory with any type of license. Should be ordered with any type of License, Realization of a new project  - one day-support included</t>
  </si>
  <si>
    <t>94</t>
  </si>
  <si>
    <t>Support of customer Watchdog and Power Supply Monitoring</t>
  </si>
  <si>
    <t>Optional</t>
  </si>
  <si>
    <t>95</t>
  </si>
  <si>
    <t>Redistribution</t>
  </si>
  <si>
    <t>The product is licensed for unrestricted use within and unrestricted redistribution by the purchaser's company. The IP remains solely at EB.
Typical use case: to allow semiconductor vendors or OEMs to buy the product and to directly distribute it to their customers or suppliers.
Production: yes; µC: family; Number of projects: unlimited; Duration: perpetual;</t>
  </si>
  <si>
    <t>96</t>
  </si>
  <si>
    <t>Update</t>
  </si>
  <si>
    <t>97</t>
  </si>
  <si>
    <t>Package</t>
  </si>
  <si>
    <t>98</t>
  </si>
  <si>
    <t>License Shift without any EB tresos AutoCore Project AddOns for BMW</t>
  </si>
  <si>
    <t>99</t>
  </si>
  <si>
    <t>Dongled License Support &amp; Maintenance (EB MAid)</t>
  </si>
  <si>
    <t>Extension of software upgrades, updates and patch releases for one year.
Maintenance contract: Includes maintenance and support of the currently implemented methods, algorithms and specifications. 
This position does NOT contain efforts caused due to changes in methods, algorithms and specifications e.g., by customer specification changes, or new features. These changes have to be quoted separately.</t>
  </si>
  <si>
    <t>100</t>
  </si>
  <si>
    <t>Dongled License (EB MAid)</t>
  </si>
  <si>
    <t>Perpetual, full-featured license. Includes one year patch releases.</t>
  </si>
  <si>
    <t>101</t>
  </si>
  <si>
    <t>BMW Modules Update</t>
  </si>
  <si>
    <t>Update of a delivery of EB tresos AutoCore Generic for BMW with a newer version of BMW modules:
- Plug-in Creation/Integration into EB tresos Studio and 
- Compile tests of BMW modules
The updated modules can be downloaded from EB command to be integrated into an existing project.</t>
  </si>
  <si>
    <t>102</t>
  </si>
  <si>
    <t>MCAL Modules Update</t>
  </si>
  <si>
    <t>Update with a newer version of MCALs:
- Plugin Creation/Integration into EB tresos Studio and 
- Compile tests of updated MCAL modules
The updated modules can be downloaded from EB command to be integrated into an existing project.</t>
  </si>
  <si>
    <t>103</t>
  </si>
  <si>
    <t>AutoCore Generic Update</t>
  </si>
  <si>
    <t>104</t>
  </si>
  <si>
    <t>Compiler Version Update</t>
  </si>
  <si>
    <t>Re-qualification with other compiler variant, version, options etc.</t>
  </si>
  <si>
    <t>105</t>
  </si>
  <si>
    <t>License Shift with EB tresos AutoCore Reference Application for BMW</t>
  </si>
  <si>
    <t>106</t>
  </si>
  <si>
    <t>EB tresos AutoCore Bootloader Updater for BMW (CAN)</t>
  </si>
  <si>
    <t>The Reference Bootloader Updater can be used to update the Bootloader of an ECU by using diagnostic communication. It integrates all Bootloader update relevant BMW specific system functionalities. The Reference Bootloader Updater is already pre-configured to update the EB tresos AutoCore Bootloader for BMW (CAN).
PLEASE NOTE: This article requires an EB tresos AutoCore Bootloader for BMW (CAN).</t>
  </si>
  <si>
    <t>107</t>
  </si>
  <si>
    <t>Product Line License</t>
  </si>
  <si>
    <t>The CUSTOMER gets the right to use the license under the following condition:
a. The run-time software is developed for one CUSTOMER PRODUCT only.
b. The run-time software is used for one µC family and compiler version only.
- Including MAINTENANCE (as defined on page "Definitions")
Additionally, the restrictions according to the LICENSE PROFILE defined on page "Scope of license" apply.</t>
  </si>
  <si>
    <t>108</t>
  </si>
  <si>
    <t>Development Maintenance (MCAL)</t>
  </si>
  <si>
    <t>- Valid for one year;
- MCAL module update as delivered from MCAL vendor.</t>
  </si>
  <si>
    <t>109</t>
  </si>
  <si>
    <t>Node Locked License (EB tresos Flashbuilder)</t>
  </si>
  <si>
    <t>- Connection to MAC-Address;</t>
  </si>
  <si>
    <t>110</t>
  </si>
  <si>
    <t>Floating License (EB tresos Flashbuilder)</t>
  </si>
  <si>
    <t>- Connection to FlexLM server;</t>
  </si>
  <si>
    <t>111</t>
  </si>
  <si>
    <t>Compression (LZSS)</t>
  </si>
  <si>
    <t>112</t>
  </si>
  <si>
    <t>Partial Programming</t>
  </si>
  <si>
    <t>113</t>
  </si>
  <si>
    <t>Node Locked License Maintenance - support not included (EB tresos Flashbuilder)</t>
  </si>
  <si>
    <t xml:space="preserve">
- For version 2.x,
- Per license.</t>
  </si>
  <si>
    <t>114</t>
  </si>
  <si>
    <t>Node Locked License Maintenance  - support included  (EB tresos Flashbuilder)</t>
  </si>
  <si>
    <t xml:space="preserve">
- For version 2.x,
- Unlimited support by phone and e-mail included,
- Per license.</t>
  </si>
  <si>
    <t>115</t>
  </si>
  <si>
    <t>Floating License Maintenance - support not included (EB  tresos Flashbuilder)</t>
  </si>
  <si>
    <t xml:space="preserve">
- Version 2.x</t>
  </si>
  <si>
    <t>116</t>
  </si>
  <si>
    <t>Floating License Maintenance - support included (EB tresos Flashbuilder)</t>
  </si>
  <si>
    <t xml:space="preserve">
- Version 2.x
- Unlimited support by phone and e-mail included.</t>
  </si>
  <si>
    <t>117</t>
  </si>
  <si>
    <t>EB tresos AutoCore Reference Application for BMW (CAN)</t>
  </si>
  <si>
    <t>The Reference Application is the ideal basis to start developing an ECU in a BMW series project.
It includes a preconfigured Autosar stack according to the BMW specific communication matrix for CAN (based on a dbc import), a reference implementation of mandatory BMW diagnostic services and BMW specific system functionalities; integrated and tested according to the BMW-specific software tests, integration tests and ECU acceptance tests.
PLEASE NOTE: This article requires an EB tresos AutoCore Generic for BMW (CAN).</t>
  </si>
  <si>
    <t>118</t>
  </si>
  <si>
    <t>Developer License for Compression Toolbox (EB Assist ADTF)</t>
  </si>
  <si>
    <t xml:space="preserve">
- Per License.</t>
  </si>
  <si>
    <t>119</t>
  </si>
  <si>
    <t>Training (EB GUIDE 5)</t>
  </si>
  <si>
    <t>120</t>
  </si>
  <si>
    <t>Dongled License Maintenance (EB tresos Studio)</t>
  </si>
  <si>
    <t>Extension of software updates an patch releases for one year.</t>
  </si>
  <si>
    <t>121</t>
  </si>
  <si>
    <t>Floating License Maintenance (EB tresos Studio)</t>
  </si>
  <si>
    <t>Extension of software updates an patch releases for one year and one seat.</t>
  </si>
  <si>
    <t>122</t>
  </si>
  <si>
    <t>Production Maintenance for Dongled License (EB tresos Studio)</t>
  </si>
  <si>
    <t>Inquire for a production maintenance package together with EB tresos AutoCore.</t>
  </si>
  <si>
    <t>123</t>
  </si>
  <si>
    <t>Production Maintenance for Floating License (EB tresos Studio)</t>
  </si>
  <si>
    <t>124</t>
  </si>
  <si>
    <t>Production Maintenance (AutoCore)</t>
  </si>
  <si>
    <t>Support after S.O.P; 
This includes:   
- Reports of known problems
- Behavior observation 
- Support of product specific problem analysis
- Patch deliveries
For further details please refer to: PD_EB_tresos_Maintenance_and_Support_Annex.pdf</t>
  </si>
  <si>
    <t>125</t>
  </si>
  <si>
    <t>Prodution Line Development License (AutoCore)</t>
  </si>
  <si>
    <t>126</t>
  </si>
  <si>
    <t>Bundle - Project License</t>
  </si>
  <si>
    <t>127</t>
  </si>
  <si>
    <t>Interoperability tests EB tresos AutoCore Generic with SLP10 COM Stack</t>
  </si>
  <si>
    <t>128</t>
  </si>
  <si>
    <t>License Shift with EB tresos AutoCore Bootloader for BMW</t>
  </si>
  <si>
    <t>129</t>
  </si>
  <si>
    <t>EB tresos AutoCore Reference Application for BMW (FlexRay)</t>
  </si>
  <si>
    <t>The Reference Application is the ideal basis to start developing an ECU in a BMW series project.
It includes a preconfigured Autosar stack according to the BMW specific communication matrix for FlexRay (based on a FIBEX import), a reference implementation of mandatory BMW diagnostic services and BMW specific system functionalities; integrated and tested according to the BMW-specific software tests, integration tests and ECU acceptance tests.
PLEASE NOTE: This article requires an EB tresos AutoCore Generic for BMW (FlexRay).</t>
  </si>
  <si>
    <t>130</t>
  </si>
  <si>
    <t>EB tresos AutoCore Bootloader for BMW (FlexRay)</t>
  </si>
  <si>
    <t>The Reference Bootloader can be used to update the Application of an ECU by using diagnostic communication. It integrates all bootloading relevant BMW specific system functionalities. The Reference Bootloader / BootManager is already pre-configured to update the EB tresos AutoCore Reference Application for BMW (FlexRay).</t>
  </si>
  <si>
    <t>131</t>
  </si>
  <si>
    <t>EB tresos AutoCore Bootloader Updater for BMW (FlexRay)</t>
  </si>
  <si>
    <t>The Reference Bootloader Updater can be used to update the Bootloader of an ECU by using diagnostic communication. It integrates all Bootloader update relevant BMW specific system functionalities. The Reference Bootloader Updater is already pre-configured to update the Reference Bootloader.
PLEASE NOTE: This article requires an EB tresos AutoCore Bootloader for BMW (FlexRay).</t>
  </si>
  <si>
    <t>132</t>
  </si>
  <si>
    <t>Production Maintenance (MCAL)</t>
  </si>
  <si>
    <t>133</t>
  </si>
  <si>
    <t>License Shift with EB tresos AutoCore Bootloader Updater for BMW</t>
  </si>
  <si>
    <t>134</t>
  </si>
  <si>
    <t>EB tresos AutoCore Reference Application for VAG/MQB (CAN)</t>
  </si>
  <si>
    <t>EB offers a VAG/MQB specific Reference Application. For details please inquire.</t>
  </si>
  <si>
    <t>135</t>
  </si>
  <si>
    <t>Dongled License (limited)</t>
  </si>
  <si>
    <t>Perpetual, limited-featured license.
Includes one year software updates and patch releases.</t>
  </si>
  <si>
    <t>136</t>
  </si>
  <si>
    <t>Dongled License via Elektrobit Hardware (BM)</t>
  </si>
  <si>
    <t>- Embedded software for ELEKTROBIT HARDWARE (as defined in Elektrobit T&amp;C)</t>
  </si>
  <si>
    <t>137</t>
  </si>
  <si>
    <t>Hardware &amp; Software</t>
  </si>
  <si>
    <t>- ELEKTROBIT HARDWARE device
- Embedded software for ELEKTROBIT HARDWARE (as defined in Elektrobit T&amp;C)
- Specification defined in section "Products and services"
- Including MAINTENANCE (as defined on page "Definitions")</t>
  </si>
  <si>
    <t>138</t>
  </si>
  <si>
    <t>Support &amp; Maintenance</t>
  </si>
  <si>
    <t>Extension of Busmirror Run-time updates and patch releases for one year.</t>
  </si>
  <si>
    <t>139</t>
  </si>
  <si>
    <t>Additional Engineering Service - Rte Partitioning</t>
  </si>
  <si>
    <t>Project specific verification of generated  RTE Code to enable the use of RTE code in ASIL software components.  
Requires the product EB tresos AutoCore Rte Partitioning.</t>
  </si>
  <si>
    <t>140</t>
  </si>
  <si>
    <t>Integrating EB tresos AutoCore into EB tresos Safety Os</t>
  </si>
  <si>
    <t>Integration services to integration EB tresos Safety OS with EB tresos AutoCore versions or OEM-specific stacks.</t>
  </si>
  <si>
    <t>141</t>
  </si>
  <si>
    <t>Configuration services for safety-related Autosar projects</t>
  </si>
  <si>
    <t>142</t>
  </si>
  <si>
    <t>Development Maintenance (Os) Project License</t>
  </si>
  <si>
    <t>Support before S.O.P;
- Valid for one year.
- Customer get access to EB product support team and known problems will be reported.  
- Updates, e.g. patches and service releases.
For further details please refer to PD_EB_tresos_Maintenance_and_Support_Annex.pdf</t>
  </si>
  <si>
    <t>143</t>
  </si>
  <si>
    <t>EB tresos AutoCore Reference Application for VAG/MLBevo (CAN)</t>
  </si>
  <si>
    <t xml:space="preserve">
EB offers a VAG/MLBevo specific Reference Application. For details please inquire.</t>
  </si>
  <si>
    <t>144</t>
  </si>
  <si>
    <t>EB tresos AutoCore Reference Application for VAG/MLBevo (FlexRay)</t>
  </si>
  <si>
    <t>EB offers a VAG/MLBevo specific Reference Application. For details please inquire.</t>
  </si>
  <si>
    <t>145</t>
  </si>
  <si>
    <t>EB tresos AutoCore Reference Application for Daimler/ASR3.1 (FlexRay)</t>
  </si>
  <si>
    <t>EB offers a Daimler/ASR3.1 specific Reference Application. For details please inquire.</t>
  </si>
  <si>
    <t>146</t>
  </si>
  <si>
    <t>EB tresos AutoCore Reference Application for Daimler/ASR3.1 (CAN)</t>
  </si>
  <si>
    <t>147</t>
  </si>
  <si>
    <t>Training (EB Assist ADTF 2)</t>
  </si>
  <si>
    <t>148</t>
  </si>
  <si>
    <t>Support Package (EB GUIDE)</t>
  </si>
  <si>
    <t>149</t>
  </si>
  <si>
    <t>EB TOOL LICENSE SUBSCRIPTION</t>
  </si>
  <si>
    <t>- Commercial License 
- valid for 12 months and 1 seat
- Includes EB GUIDE 6 Studio Enterprise License</t>
  </si>
  <si>
    <t>150</t>
  </si>
  <si>
    <t>Run-time License (EB GUIDE STF)</t>
  </si>
  <si>
    <t>151</t>
  </si>
  <si>
    <t>Run-time License (EB GUIDE GTF)</t>
  </si>
  <si>
    <t>152</t>
  </si>
  <si>
    <t>EB TOOLING DEVELOPMENT LICENSE CUSTOM</t>
  </si>
  <si>
    <t>153</t>
  </si>
  <si>
    <t>Training (EB GUIDE 6)</t>
  </si>
  <si>
    <t>154</t>
  </si>
  <si>
    <t>Support Package (EB GUIDE 6)</t>
  </si>
  <si>
    <t>155</t>
  </si>
  <si>
    <t>EB TOOLING DEVELOPMENT LICENSE SPEECH</t>
  </si>
  <si>
    <t>156</t>
  </si>
  <si>
    <t>Node Locked License (EB robinos Provider ADASISv2 for EB Assist ADTF)</t>
  </si>
  <si>
    <t>- Perpetual LICENSE per seat
- Includes free UPDATES to new product versions within the same primary version number for 12 months</t>
  </si>
  <si>
    <t>157</t>
  </si>
  <si>
    <t>Node Locked License, Developer (EB Assist ADTF Toolboxes)</t>
  </si>
  <si>
    <t>-Perpetual TOOLBOX DEVELOPER LICENSE per seat
-Includes free UPDATES to new product versions within the same primary version number for the first year
-Applies to ADTF 2 - Calibration Toolbox or ADTF 2 – ML/SL Toolbox</t>
  </si>
  <si>
    <t>158</t>
  </si>
  <si>
    <t>Node Locked License Maintenance, Development (EB Assist Toolbox)</t>
  </si>
  <si>
    <t>- Perpetual DEVELOPMENT LICENSE per seat
- Includes free UPDATES to new product versions within the same primary version number for the first year</t>
  </si>
  <si>
    <t>159</t>
  </si>
  <si>
    <t>Node Locked License Maintenance (EB robinos Provider ADASISv2 for EB Assist ADTF)</t>
  </si>
  <si>
    <t>- Per seat
- Includes free UPDATES to new product versions within the same primary version number for 12 month</t>
  </si>
  <si>
    <t>160</t>
  </si>
  <si>
    <t>Dongled License (BM)</t>
  </si>
  <si>
    <t>Perpetual, full-featured license. Includes one year software upgrades, updates and patch releases.</t>
  </si>
  <si>
    <t>161</t>
  </si>
  <si>
    <t>Dongled License Support &amp; Maint. (BM)</t>
  </si>
  <si>
    <t>Extension of software upgrades, updates and patch releases for one year.</t>
  </si>
  <si>
    <t>162</t>
  </si>
  <si>
    <t>Single-User License (BM)</t>
  </si>
  <si>
    <t>163</t>
  </si>
  <si>
    <t>Single-User License Support &amp; Maint. (BM)</t>
  </si>
  <si>
    <t>164</t>
  </si>
  <si>
    <t>Evaluation License (BM)</t>
  </si>
  <si>
    <t>165</t>
  </si>
  <si>
    <t>Training (EB solys)</t>
  </si>
  <si>
    <t>166</t>
  </si>
  <si>
    <t>Consulting (EB solys)</t>
  </si>
  <si>
    <t>167</t>
  </si>
  <si>
    <t>EB tresos AutoCore Reference Application for Daimler/ASR3.2 (FlexRay)</t>
  </si>
  <si>
    <t>EB offers a Daimler/ASR3.2 specific Reference Application. For details please inquire.</t>
  </si>
  <si>
    <t>168</t>
  </si>
  <si>
    <t>EB tresos AutoCore Reference Application for Daimler/ASR3.2 (CAN)</t>
  </si>
  <si>
    <t>169</t>
  </si>
  <si>
    <t>EB tresos AutoCore Reference Application for VAG/MQB (FlexRay)</t>
  </si>
  <si>
    <t>170</t>
  </si>
  <si>
    <t>MQB Modules Update</t>
  </si>
  <si>
    <t>171</t>
  </si>
  <si>
    <t>MLBevo Modules Update</t>
  </si>
  <si>
    <t>172</t>
  </si>
  <si>
    <t>Qualification of EB tresos AutoCore for Daimler</t>
  </si>
  <si>
    <t>Qualification of EB tresos AutoCore for Daimler with a specific compiler on the target hardware derivate.
The qualification includes:
- Module tests of all EB tresos AutoCore Generic modules  + EB tresos AutoCore OS 
- Integration tests of EB tresos AutoCore Generic modules + EB tresos AutoCore OS 
- Use case tests of EB tresos AutoCore Generic modules + EB tresos AutoCore OS + MCAL modules
EB provides a weekly report of the known issues of EB tresos AutoCore Generic modules and EB tresos AutoCore OS for a qualified delivery.
This qualification of EB tresos AutoCore for Daimler can be ordered on demand, e.g. after an update of MCAL modules.
A mass production approval for a delivery can only be given if the latest delivery of EB tresos AutoCore for Daimler has been qualified.</t>
  </si>
  <si>
    <t>173</t>
  </si>
  <si>
    <t>EB tresos AutoCore Bootloader for VAG/MQB (CAN)</t>
  </si>
  <si>
    <t>The Reference Bootloader can be used to update the Application of an ECU by using diagnostic communication via CAN.</t>
  </si>
  <si>
    <t>174</t>
  </si>
  <si>
    <t>EB tresos AutoCore Bootloader for VAG/MQB (FlexRay)</t>
  </si>
  <si>
    <t>The Reference Bootloader can be used to update the Application of an ECU by using diagnostic communication via FlexRay.</t>
  </si>
  <si>
    <t>175</t>
  </si>
  <si>
    <t>EB tresos AutoCore Reference Application</t>
  </si>
  <si>
    <t>176</t>
  </si>
  <si>
    <t>Node Locked License Development (EB Assist ADTF 2 Toolbox)</t>
  </si>
  <si>
    <t>- Perpetual DEVELOPMENT LICENSE per seat
- Includes free UPDATES to new product versions within the same primary version number for the first year.</t>
  </si>
  <si>
    <t>177</t>
  </si>
  <si>
    <t>Qualification of EB tresos AutoCore</t>
  </si>
  <si>
    <t>Qualification of EB tresos AutoCore with a specific compiler on the target hardware derivate.
The qualification includes:
- Module tests of all EB tresos AutoCore Generic modules + EB tresos AutoCore OS 
- Integration tests of EB tresos AutoCore Generic modules + EB tresos AutoCore OS 
- Use case tests of EB tresos AutoCore Generic modules + EB tresos AutoCore OS + MCAL modules
EB provides a weekly report of the known issues of EB tresos AutoCore Generic modules and EB tresos AutoCore OS for a qualified delivery.
This qualification of EB tresos AutoCore can be ordered on demand, e.g. after an update of MCAL modules.
A mass production approval for a delivery can only be given if the latest delivery of EB tresos AutoCore has been qualified.</t>
  </si>
  <si>
    <t>178</t>
  </si>
  <si>
    <t>Qualification of EB tresos AutoCore for BMW</t>
  </si>
  <si>
    <t>Qualification of EB tresos AutoCore for BMW with a specific compiler on the target hardware derivate.
The qualification includes:
- Module tests of all EB tresos AutoCore Generic modules  + EB tresos AutoCore OS 
- Integration tests of EB tresos AutoCore Generic modules + EB tresos AutoCore OS 
- Use case tests of EB tresos AutoCore Generic modules + EB tresos AutoCore OS + MCAL modules
EB provides a weekly report of the known issues of EB tresos AutoCore Generic modules and EB tresos AutoCore OS for a qualified delivery.
This qualification of EB tresos AutoCore for BMW can be ordered on demand, e.g. after an update of MCAL modules.
A mass production approval for a delivery can only be given if the latest delivery of EB tresos AutoCore for BMW has been qualified.</t>
  </si>
  <si>
    <t>179</t>
  </si>
  <si>
    <t>Qualification of EB tresos AutoCore Reference Projects for BMW (CAN or FlexRay)</t>
  </si>
  <si>
    <t>Qualification of EB tresos AutoCore Reference Projects for one communication bus (CAN or FlexRay).
This qualification includes the reconfiguration of 
- EB tresos AutoCore Reference Application for BMW
- EB tresos AutoCore Bootloader for BMW
- EB tresos AutoCore Bootloader Updater for BMW with updated modules and performing the
- BAC SW Tests with a specific compiler on the target hardware derivate.
This qualification of EB tresos AutoCore Reference Projects for BMW can be ordered on demand, e.g. after an update of BMW modules or MCAL modules.
PLEASE NOTE: In case of an update of MCAL modules,  first a qualification of the EB tresos AutoCore for BMW is required before a qualification of EB tresos AutoCore Reference Projects can be performed.</t>
  </si>
  <si>
    <t>180</t>
  </si>
  <si>
    <t>Qualfication with BMW ECU Acceptance Tests</t>
  </si>
  <si>
    <t>Qualification with BMW ECU Acceptance Tests in addition to a qualification of EB tresos AutoCore Reference Projects for BMW.
These BMW ECU acceptance tests are run by BMW with each delivery from the Tier1.
To run these tests before the delivery to BMW can help to significantly reduce problems.</t>
  </si>
  <si>
    <t>181</t>
  </si>
  <si>
    <t>Qualification of EB tresos AutoCore for VAG/MQB</t>
  </si>
  <si>
    <t>Qualification of EB tresos AutoCore for VAG/MQB with a specific compiler on the target hardware derivate.
The qualification includes:
- Module tests of all EB tresos AutoCore Generic modules + EB tresos AutoCore OS 
- Integration tests of EB tresos AutoCore Generic modules + EB tresos AutoCore OS 
- Use case tests of EB tresos AutoCore Generic modules + EB tresos AutoCore OS + MCAL modules
EB provides a weekly report of the known issues of EB tresos AutoCore Generic modules and EB tresos AutoCore OS for a qualified delivery.
This qualification of EB tresos AutoCore for VAG/MQB can be ordered on demand, e.g. after an update of MCAL modules.
A mass production approval for a delivery can only be given if the latest delivery of EB tresos AutoCore for VAG/MQB has been qualified.</t>
  </si>
  <si>
    <t>182</t>
  </si>
  <si>
    <t>Qualification of Dcm and Dem Wrapper Modules</t>
  </si>
  <si>
    <t>183</t>
  </si>
  <si>
    <t>Qualification of KS</t>
  </si>
  <si>
    <t>184</t>
  </si>
  <si>
    <t>Qualification of new Generic Bootloader for VAG/MQB (CAN or FlexRay)</t>
  </si>
  <si>
    <t>185</t>
  </si>
  <si>
    <t>Qualification EB tresos AutoCore Bootloader for VAG/MQB (CAN or FlexRay) with updated MCAL</t>
  </si>
  <si>
    <t>186</t>
  </si>
  <si>
    <t>Qualification of EB tresos AutoCore for VAG/MLBevo with updated MCAL</t>
  </si>
  <si>
    <t>187</t>
  </si>
  <si>
    <t>Interoperability tests of EB tresos AutoCore with MLBevo COM Stack</t>
  </si>
  <si>
    <t>188</t>
  </si>
  <si>
    <t>Qualification of new Generic Bootloader for VAG/MLBevo  (CAN or FlexRay)</t>
  </si>
  <si>
    <t>189</t>
  </si>
  <si>
    <t>Qualification of EB tresos AutoCore Bootloader for VAG/MLBevo  (CAN or FlexRay) with updated MCAL</t>
  </si>
  <si>
    <t>190</t>
  </si>
  <si>
    <t>EB tresos AutoCore Bootloader for VAG/MLBevo (CAN)</t>
  </si>
  <si>
    <t>191</t>
  </si>
  <si>
    <t>EB tresos AutoCore Bootloader for VAG/MLBevo (FlexRay)</t>
  </si>
  <si>
    <t>192</t>
  </si>
  <si>
    <t>EB tresos AutoCore Bootloader for Daimler (CAN)</t>
  </si>
  <si>
    <t>193</t>
  </si>
  <si>
    <t>EB tresos AutoCore Bootloader for Daimler (FlexRay)</t>
  </si>
  <si>
    <t>194</t>
  </si>
  <si>
    <t>MCAL Modules Update (excluding MLBevo parts)</t>
  </si>
  <si>
    <t>195</t>
  </si>
  <si>
    <t>Production License (EB GUIDE)</t>
  </si>
  <si>
    <t>196</t>
  </si>
  <si>
    <t>Warranty Extension</t>
  </si>
  <si>
    <t>197</t>
  </si>
  <si>
    <t>Development Maintenance (Os) Product Line License</t>
  </si>
  <si>
    <t>198</t>
  </si>
  <si>
    <t>Production Maintenance (OS)</t>
  </si>
  <si>
    <t>199</t>
  </si>
  <si>
    <t>Safety Concept License</t>
  </si>
  <si>
    <t>- The product can be used for the development of ECU run-time software, which is
not used for production prototypes (aka C-samples) or production of end-consumer
products.
- Typical use cases: to develop prototyping or demonstrator systems for the
purpose of acquiring customers or to proof technical concepts.
- Please inquire for availability. Concept Licenses are available for selected μC
derivatives only.
- Production: no; μC: one target derivative, compiler and set of compiler options;
Number of projects: unlimited; Duration: one year
- The Safety Concept License does not include a Safety Manual and a Safety Statement from EB which are necessary to use the software in functional safety related projects.</t>
  </si>
  <si>
    <t>200</t>
  </si>
  <si>
    <t>Safety Project License</t>
  </si>
  <si>
    <t>- The product is used for production projects restricted to one ECU project. We
recognize correct use, if all of the following conditions are met:
a. The run-time software is developed for one ECU, only.
b. The ECU is used for one car platform of one OEM brand, only.
- Typical use case: to develop and produce one ECU for one vehicle platform.
- Please inquire for availability. Project Licenses are available for selected μC
derivatives only.
- Production: yes; μC: one target derivative, compiler and set of compiler options;
Number of projects: one; Duration: perpetual;
- Includes one year Safety Life Cycle Project Maintenance.
- EB recommends an ongoing Safety Life Cycle Project Maintenance contract for the time period the licensed software is in use.</t>
  </si>
  <si>
    <t>201</t>
  </si>
  <si>
    <t>Safety Product-Line License</t>
  </si>
  <si>
    <t>- The product is used for production projects restricted to one product line of ECUs.
We recognize correct use, if the following conditions are all met:
a. The ECUs of one product line carry out the same basic control functionality.
b. Variations of the control functionalities only reflect the differences of the car
platform, for which they are build.
c. Variations of the control functionalities are implemented in the ECU software by
calibration parameters, calibration tables, pre-compile or pre-build software
configuration, only.
- Typical use case: to develop and produce one line of ECUs with alike control
functionality for different vehicles.
Production: yes; μC: one target, derivate, compiler and set of compiler options;
Number of projects: unlimited, different OEMs possible; Duration: perpetual;
- Includes one year Safety Life Cylce Product-Line Maintenance.
- EB recommends an ongoing Safety Life Cycle Product-Line
Maintenance contract for the time period the licensed software is in use.</t>
  </si>
  <si>
    <t>202</t>
  </si>
  <si>
    <t>Safety Life Cycle Project Maintenance</t>
  </si>
  <si>
    <t>- Life cycle: Time period the licensed software is in use.
- Customer gets access to EB product support team and known problems will be reported
- Updates, e.g. patches and services releases
For further details please refer to PD_EB_tresos_Maintenance_and_Support_Annex.pdf</t>
  </si>
  <si>
    <t>203</t>
  </si>
  <si>
    <t>Safety Life Cycle Product-Line Maintenance</t>
  </si>
  <si>
    <t>204</t>
  </si>
  <si>
    <t>Freescale A-Sample License</t>
  </si>
  <si>
    <t>Discounted license with provisions only for development work. Production deployment of Software using this license is prohibited. The Freescale A-sample License has a two year term. For a subsequent purchase of a Freescale Project License or Freescale Product Line License the cost of the Freescale A-sample License originally purchased will apply to the list of the production use license. 
one year support and maintenance is included.</t>
  </si>
  <si>
    <t>205</t>
  </si>
  <si>
    <t>Freescale A-Sample License Support</t>
  </si>
  <si>
    <t>Support includes delivery of Freescale Software updates to new releases of the same major version number on availability. Support fees will be invoiced in advance for a period of twelve months per customer. Under a maintenance contract upgrades to new major versions are available at a 40% discount.</t>
  </si>
  <si>
    <t>206</t>
  </si>
  <si>
    <t>Freescale Project License</t>
  </si>
  <si>
    <t>This is a production use license that applies to only Freescale MCUs.
- For use in one customer target project = one ECU for one OEM
- Unrestricted in time and production volume
- For initial delivery and maintenance a Freescale DISM Pack is required.</t>
  </si>
  <si>
    <t>207</t>
  </si>
  <si>
    <t>Freescale Project License Support</t>
  </si>
  <si>
    <t>208</t>
  </si>
  <si>
    <t>Freescale Product Line License</t>
  </si>
  <si>
    <t>This is a production use license that applies to only Freescale MCUs.
- For use with one MCU family in one customer product line
- Unrestricted in time and production volume
- For initial delivery and maintenance a Freescale DISM Pack is required.</t>
  </si>
  <si>
    <t>209</t>
  </si>
  <si>
    <t>Freescale Product Line License Support</t>
  </si>
  <si>
    <t>210</t>
  </si>
  <si>
    <t>Infineon Evaluation License (6 months)</t>
  </si>
  <si>
    <t>Evaluation license for 6 months for one project e.g. front body controller at one OEM.</t>
  </si>
  <si>
    <t>211</t>
  </si>
  <si>
    <t>Infineon Evaluation License (1 year)</t>
  </si>
  <si>
    <t>Evaluation license for one year for one project e.g. front body controller at one OEM (this amount is credited when upgrading to a Development or Reproduction License). one year support and maintenance is included.</t>
  </si>
  <si>
    <t>212</t>
  </si>
  <si>
    <t>Infineon Evaluation License Support</t>
  </si>
  <si>
    <t>Support includes delivery of Updates of the INFINEON Software on availability. Support is limited to 15 hours per year. Support fees will be invoiced in advance for a period of twelve months per customer.</t>
  </si>
  <si>
    <t>213</t>
  </si>
  <si>
    <t>Infineon Development License</t>
  </si>
  <si>
    <t>- THIRD-PARTY COMPONENT (as defined in Elektrobit T&amp;C)
- Terms of Use according to Infineon Technologies AG (as defined in Terms of Use https://www.infineon.com/cms/en/about-infineon/usage-terms/)
- Specification defined in section "Products and services"</t>
  </si>
  <si>
    <t>214</t>
  </si>
  <si>
    <t>Infineon Support and Maintenance for Development License (inactive)</t>
  </si>
  <si>
    <t>Support includes delivery of Updates of the INFINEON Software on availability. Support is limited to 25 hours per year. Support fees will be invoiced in advance for a period of twelve months per customer.</t>
  </si>
  <si>
    <t>215</t>
  </si>
  <si>
    <t>Infineon Development and Reproduction License</t>
  </si>
  <si>
    <t>- THIRD-PARTY COMPONENT (as defined in Elektrobit T&amp;C) 
- Terms of Use according to Infineon Technologies AG (as defined in Terms of Use https://www.infineon.com/cms/en/about-infineon/usage-terms/) 
- Specification defined in section "Products and services" 
Additionally, the restrictions according to the LICENSE PROFILE defined on page "Scope of license" apply.</t>
  </si>
  <si>
    <t>216</t>
  </si>
  <si>
    <t>Infineon Support and Maintenance for Development and Reproduction License</t>
  </si>
  <si>
    <t>- THIRD-PARTY COMPONENT (as defined in Elektrobit T&amp;C) 
- Terms of Use according to Infineon Technologies AG (as defined in Terms of Use https://www.infineon.com/cms/en/about-infineon/usage-terms/) 
- Specification defined in section "Products and services" 
- Includes 15-hour Elektrobit product-related support by phone or support portal. Quota valid for 12 months</t>
  </si>
  <si>
    <t>217</t>
  </si>
  <si>
    <t>Floating License (EB GUIDE)</t>
  </si>
  <si>
    <t>218</t>
  </si>
  <si>
    <t>Node Locked License (EB GUIDE)</t>
  </si>
  <si>
    <t>- Perpetual DEVELOPMENT LICENSE per seat
- Includes free UPDATES to new product versions within the same primary version number for the first year. 
- Includes 10h support for the first year
- Node locked licenses for EB GUIDE require a permanent connected LAN adapter. WLAN network connection cannot be supported with the official Oracle Java JRE delivered with EB GUIDE.</t>
  </si>
  <si>
    <t>219</t>
  </si>
  <si>
    <t>Node Locked License Upgrade (EB GUIDE)</t>
  </si>
  <si>
    <t>- Per seat
- UPGRADE to new product version within the next primary version number.
- Node locked licenses for EB GUIDE require a permanent LAN adapter connected. WLAN network connection cannot be supported with the official Oracle Java JRE delivered with EB GUIDE.</t>
  </si>
  <si>
    <t>220</t>
  </si>
  <si>
    <t>Dongled License Upgrade (EB GUIDE)</t>
  </si>
  <si>
    <t>- Per seat
- UPGRADE to new product version within the next primary version number.</t>
  </si>
  <si>
    <t>221</t>
  </si>
  <si>
    <t>Dongled License Maintenance (EB GUIDE)</t>
  </si>
  <si>
    <t>- Per seat
- Includes free UPDATES to new product versions within the same primary version number for 12 months. 
- Includes 10h support for 12 months</t>
  </si>
  <si>
    <t>222</t>
  </si>
  <si>
    <t>Floating License Upgrade (EB GUIDE)</t>
  </si>
  <si>
    <t>223</t>
  </si>
  <si>
    <t>Floating License Maintenance (EB GUIDE)</t>
  </si>
  <si>
    <t>224</t>
  </si>
  <si>
    <t>Temporary Node Locked License (EB GUIDE)</t>
  </si>
  <si>
    <t>- Per seat
- Temporary DEVELOPMENT LICENSE for a 3 months period. 
- Includes free UPDATES to new product versions within the same primary version number.
- Node locked licenses for EB GUIDE require a permanent LAN adapter connected. WLAN network connection cannot be supported with the official Oracle Java JRE delivered with EB GUIDE.</t>
  </si>
  <si>
    <t>225</t>
  </si>
  <si>
    <t>Temporary Dongled License (EB GUIDE)</t>
  </si>
  <si>
    <t>- Per seat
- Temporary DEVELOPMENT LICENSE for a 3 months period. 
- Includes free UPDATES to new product versions within the same primary version number.</t>
  </si>
  <si>
    <t>226</t>
  </si>
  <si>
    <t>Dongled License (leased)</t>
  </si>
  <si>
    <t>Full-featured license, valid for 3 months. Includes software updates and patch releases for 3 months. If the customers buys a perpetual license, EB will not refund the expenses for such a leased license.</t>
  </si>
  <si>
    <t>227</t>
  </si>
  <si>
    <t>Floating License (leased)</t>
  </si>
  <si>
    <t>228</t>
  </si>
  <si>
    <t>IP1</t>
  </si>
  <si>
    <t>Module Integration Package</t>
  </si>
  <si>
    <t>229</t>
  </si>
  <si>
    <t>IP1.up</t>
  </si>
  <si>
    <t>Update of a Module Integration Package</t>
  </si>
  <si>
    <t>230</t>
  </si>
  <si>
    <t>QP1</t>
  </si>
  <si>
    <t>Module qualification package (QP1)</t>
  </si>
  <si>
    <t>231</t>
  </si>
  <si>
    <t>QP1.up</t>
  </si>
  <si>
    <t>The update of the module qualification package (QP1.up) includes the re-execution of module tests.
A qualification report is delivered.</t>
  </si>
  <si>
    <t>232</t>
  </si>
  <si>
    <t>IP2</t>
  </si>
  <si>
    <t>The stack integration package (IP2) includes the integration of dedicated modules 
- Into a software stack 
- And basic tests of this software stack.</t>
  </si>
  <si>
    <t>233</t>
  </si>
  <si>
    <t>IP2.up</t>
  </si>
  <si>
    <t>The update of the stack integration package (IP2.up) includes a reintegration of dedicated modules 
- Into a software stack 
- And basic tests of this software stack</t>
  </si>
  <si>
    <t>234</t>
  </si>
  <si>
    <t>QP2</t>
  </si>
  <si>
    <t>The qualification package (QP2) performs execution of stack tests of a software stack.</t>
  </si>
  <si>
    <t>235</t>
  </si>
  <si>
    <t>QP2.up</t>
  </si>
  <si>
    <t>Update of qualification package (QP2) which performs execution of stack tests of a software stack.</t>
  </si>
  <si>
    <t>236</t>
  </si>
  <si>
    <t>IP3</t>
  </si>
  <si>
    <t>Reference Integration Package</t>
  </si>
  <si>
    <t>237</t>
  </si>
  <si>
    <t>IP3.up</t>
  </si>
  <si>
    <t>Update of a Reference Integration Package</t>
  </si>
  <si>
    <t>238</t>
  </si>
  <si>
    <t>QP3</t>
  </si>
  <si>
    <t>The reference qualification package (QP3) includes the execution of software tests of a reference project.
A qualification report is delivered.</t>
  </si>
  <si>
    <t>239</t>
  </si>
  <si>
    <t>QP3.up</t>
  </si>
  <si>
    <t>The update of the reference qualification package (QP3.up) includes the re-execution of software tests of an updated reference project.
A qualification report is delivered.</t>
  </si>
  <si>
    <t>240</t>
  </si>
  <si>
    <t>Development Maintenance for Product Line License</t>
  </si>
  <si>
    <t>- Extension of MAINTENANCE duration (as defined on page "Definitions") 
- Valid for existing Product Line License 
Please note: 
- Updates and bugfixes are provided for the latest software version only. 
- Tested only with the latest software version of related products (e.g., ELEKTROBIT TOOLING).</t>
  </si>
  <si>
    <t>241</t>
  </si>
  <si>
    <t>Development Maintenance for Company License for Tier 1</t>
  </si>
  <si>
    <t>- Extension of MAINTENANCE duration (as defined on page "Definitions")
- Valid for existing Company License for Tier 1
Please note:
- Updates and bugfixes are provided for the latest software version only.
- Tested only with the latest software version of related products (e.g., ELEKTROBIT TOOLING).</t>
  </si>
  <si>
    <t>242</t>
  </si>
  <si>
    <t>Educational License</t>
  </si>
  <si>
    <t>To use the Deliverables for educational, non-commercial purposes in universities and technical schools. With respect to EB Products that are tools, Licensee shall generate software modules in object code only and shall not disclose or provide the generated software modules to any third party. NOTWITHSTANDING ANY OTHER PROVISION OF THIS AGREEMENT, IT IS ACKNOWLEDGED AND AGREED THAT ALL DELIVERBLES AND SERVICES PROVIDED UNDER OR IN CONNECTION WITH AN EDUCATIONAL LICENSE ARE PROVIDED ON A STRICTLY “AS IS” BASIS, WITHOUT RECOURSE OR WARRANTY OF ANY KIND. WITHOUT LIMITING THE FOREGOING, THE PROVISIONS OF SECTIONS 7.1, 7.2 and 8 SHALL NOT APPLY.</t>
  </si>
  <si>
    <t>243</t>
  </si>
  <si>
    <t>Run-time License 10 User</t>
  </si>
  <si>
    <t xml:space="preserve">
One time purchase only. Perpetual; Includes free updates to new product versions within the same primary version number.</t>
  </si>
  <si>
    <t>244</t>
  </si>
  <si>
    <t>Node Locked License Maintenance, Run-time (EB Assist ADTF Toolbox)</t>
  </si>
  <si>
    <t>- Per seat
- Includes free UPDATES to new product versions within the same primary version number for 12 months</t>
  </si>
  <si>
    <t>245</t>
  </si>
  <si>
    <t>Maintenance (EB Assist ADTF)</t>
  </si>
  <si>
    <t xml:space="preserve">
20% of total amount of developer licenses within a customer. 
Includes free updates to new product versions within the same primary version number. 10 h support per Development license; 
10% maintenance fee for all runtime licenses and toolboxes. No support for runtime licenses nor toolboxes</t>
  </si>
  <si>
    <t>246</t>
  </si>
  <si>
    <t>MIT Run-time License 1 User</t>
  </si>
  <si>
    <t xml:space="preserve">
Perpetual, no updates included.</t>
  </si>
  <si>
    <t>247</t>
  </si>
  <si>
    <t>OEM-restricted Company License for Tier 1</t>
  </si>
  <si>
    <t>248</t>
  </si>
  <si>
    <t>Development Maintenance for OEM-restricted Company License for Tier 1</t>
  </si>
  <si>
    <t>- Extension of MAINTENANCE duration (as defined on page "Definitions")
- Valid for existing OEM-restricted Company License for Tier 1
Please note:
- Updates and bugfixes are provided for the latest software version only.
- Tested only with the latest software version of related products (e.g., ELEKTROBIT TOOLING).</t>
  </si>
  <si>
    <t>249</t>
  </si>
  <si>
    <t>Porting Package</t>
  </si>
  <si>
    <t>Porting of the modules to support a specific platform, including qualification tests.</t>
  </si>
  <si>
    <t>250</t>
  </si>
  <si>
    <t>Qualification for new Derivatives or new Compiler Release</t>
  </si>
  <si>
    <t>251</t>
  </si>
  <si>
    <t>Porting &amp; Qualification to new Derivatives or new Compiler Release</t>
  </si>
  <si>
    <t>252</t>
  </si>
  <si>
    <t>Qualification for new Compiler Toolchain</t>
  </si>
  <si>
    <t>253</t>
  </si>
  <si>
    <t>Porting &amp; Qualification to new Compiler Toolchain</t>
  </si>
  <si>
    <t>254</t>
  </si>
  <si>
    <t>Dongled License via EB Hardware - Support &amp; Maintenance (BM)</t>
  </si>
  <si>
    <t>255</t>
  </si>
  <si>
    <t>Node Locked Evaluation License (EB GUIDE)</t>
  </si>
  <si>
    <t>- Node locked licenses for EB GUIDE require a permanent LAN adapter connected. WLAN network connection cannot be supported with the official Oracle Java JRE delivered with EB GUIDE.</t>
  </si>
  <si>
    <t>256</t>
  </si>
  <si>
    <t>Integration Package for Bootloader</t>
  </si>
  <si>
    <t>Integration of all the modules which belong to the Bootloader (hw-dependent and hw-independant).
Integration tests are executed on the target/compiler of the project.</t>
  </si>
  <si>
    <t>257</t>
  </si>
  <si>
    <t>Qualification Package for Bootloader</t>
  </si>
  <si>
    <t>Qualification tests of the hw-independent modules which belong to the bootloader on the project target/compiler.</t>
  </si>
  <si>
    <t>258</t>
  </si>
  <si>
    <t>Node Locked License 20 User - Maintenance</t>
  </si>
  <si>
    <t xml:space="preserve">
- Includes free UPDATES to new product versions within the same primary version number for the first year. 
- Includes 10h support for the first year.</t>
  </si>
  <si>
    <t>259</t>
  </si>
  <si>
    <t>Floating License Maintenance Extension, Developer (EB Assist ADTF)</t>
  </si>
  <si>
    <t>260</t>
  </si>
  <si>
    <t>Floating License Maintenance Extension, Run-time (EB Assist ADTF)</t>
  </si>
  <si>
    <t>- Per seat
- Includes free UPDATES to new product versions within the same primary version number for 12 months
- Includes all standard toolboxes</t>
  </si>
  <si>
    <t>261</t>
  </si>
  <si>
    <t>Node Locked License, Run-time (EB Assist ADTF Toolboxes)</t>
  </si>
  <si>
    <t>- Perpetual TOOLBOX DEVELOPER LICENSE per seat;
-Includes free UPDATES to new product versions within the same primary version number for the first year
-Applies to ADTF 2 - Calibration Toolbox or ADTF 2 – ML/SL Toolbox</t>
  </si>
  <si>
    <t>262</t>
  </si>
  <si>
    <t>Node Locked License Maintenance Extension, Run-time (EB Assist ADTF)</t>
  </si>
  <si>
    <t>263</t>
  </si>
  <si>
    <t>Hardware &amp; Development License</t>
  </si>
  <si>
    <t>264</t>
  </si>
  <si>
    <t>QP4 (without ordering CAN Stack)</t>
  </si>
  <si>
    <t>Qualification tests of this module on the project target/compiler.</t>
  </si>
  <si>
    <t>265</t>
  </si>
  <si>
    <t>Presentation License (EB GUIDE)</t>
  </si>
  <si>
    <t>Presentation License valid for 12 months. Free UPDATES to new product versions within the same primary version number for 12 months.</t>
  </si>
  <si>
    <t>266</t>
  </si>
  <si>
    <t>Development License (EB GUIDE TF)</t>
  </si>
  <si>
    <t>- Perpetual DEVELOPMENT LICENSE</t>
  </si>
  <si>
    <t>267</t>
  </si>
  <si>
    <t>Template</t>
  </si>
  <si>
    <t>Templates are only example code. Templates can be re-used in ECU software of CUSTOMER if CUSTOMER has performed sufficient qualification.</t>
  </si>
  <si>
    <t>268</t>
  </si>
  <si>
    <t>Freescale DISM Pack</t>
  </si>
  <si>
    <t>The DISM Pack contains:
- Initial Delivery of SW package and configuration tool
- License file valid one year for SW package and configuration tool
- One year access to:
* Technical Support (Email)
* Quality Package
* Hot fixes and patches
* Software updates (new releases)
And for customers not holding a production license yet:
- Development License for building ECU samples and prototypes (max. 500 units) valid for one year for a maximum of 3 development projects in parallel (but no series production rights).</t>
  </si>
  <si>
    <t>269</t>
  </si>
  <si>
    <t>Freescale License 250k units</t>
  </si>
  <si>
    <t>This is a production use license that applies to only Freescale MCUs.
- License for use with one MCU family
- Unrestricted in time
- Limited to total ECU production volume of 250k units
- For initial delivery and maintenance a Freescale DISM Pack is required.</t>
  </si>
  <si>
    <t>270</t>
  </si>
  <si>
    <t>Freescale Family Multi Project License</t>
  </si>
  <si>
    <t>271</t>
  </si>
  <si>
    <t>Single-User License</t>
  </si>
  <si>
    <t>- Single-User License (as defined in Elektrobit T&amp;C)
- Including MAINTENANCE (as defined on page "Definitions")</t>
  </si>
  <si>
    <t>272</t>
  </si>
  <si>
    <t>Single-User License Support &amp; Maintenance</t>
  </si>
  <si>
    <t>- Extension of MAINTENANCE duration (as defined on page "Definitions")
- Valid for existing Single-User License (as defined in Elektrobit T&amp;C)</t>
  </si>
  <si>
    <t>273</t>
  </si>
  <si>
    <t>Dongled License change from Studio for ACG6</t>
  </si>
  <si>
    <t>License change from Studio for ACG6 to EB tresos Studio for ACG7. After license change this license can explecitely used for EB tresos Studio for ACG7. Maintenance for EB tresos Studio for ACG6 (if existing) will be transfered to EB tresos Studio for ACG7.</t>
  </si>
  <si>
    <t>274</t>
  </si>
  <si>
    <t>Node Locked License change from Studio for ACG6</t>
  </si>
  <si>
    <t>License change from EB tresos Studio for ACG6 to EB tresos Studio for ACG7. After license change this license can explecitely used for EB tresos Studio for ACG7. Maintenance for EB tresos Studio for ACG6 (if existing) will be transfered to EB tresos Studio for ACG7.</t>
  </si>
  <si>
    <t>275</t>
  </si>
  <si>
    <t>Floating License change from Studio for ACG6</t>
  </si>
  <si>
    <t>276</t>
  </si>
  <si>
    <t>Single-User License (leased)</t>
  </si>
  <si>
    <t>277</t>
  </si>
  <si>
    <t>Dongled License extension from EB tresos Studio for ACG6</t>
  </si>
  <si>
    <t>License extension from EB tresos Studio for ACG6 to EB tresos Studio for ACG7. After license change this license can also be used for Studio for ACG 7. Includes software updates and patch releases for Studio for ACG 7 for one year (no upgrades to any other Studio major version is included).</t>
  </si>
  <si>
    <t>278</t>
  </si>
  <si>
    <t>Node Locked License extension from EB tresos Studio for ACG6</t>
  </si>
  <si>
    <t>License extension from EB tresos  Studio for ACG6 to EB tresos Studio for ACG7. After license change this license can also be used for EB tresos Studio for ACG7. Includes software updates and patch releases for EB tresos Studio for ACG7 for one year (no upgrades to any other Studio major version is included).</t>
  </si>
  <si>
    <t>279</t>
  </si>
  <si>
    <t>Floating License extension from EB tresos Studio for ACG6</t>
  </si>
  <si>
    <t>License extension from EB tresos Studio for ACG6 to EB tresos Studio for ACG7. After license change this license can also be used for EB tresos Studio for ACG7. Includes software updates and patch releases for EB tresos Studio for ACG 7 for one year (no upgrades to any other Studio major version is included).</t>
  </si>
  <si>
    <t>280</t>
  </si>
  <si>
    <t>Run-time License (EB GUIDE)</t>
  </si>
  <si>
    <t xml:space="preserve">
- REPRODUCTION AND DISTRIBUTION LICENSE;
- Per distributed ECU equipped with EB GUIDE TF;</t>
  </si>
  <si>
    <t>281</t>
  </si>
  <si>
    <t>ECU Cross-Platform License for OEM</t>
  </si>
  <si>
    <t>The CUSTOMER gets the right to use the license under the following condition:
a. The run-time software is used for one Vehicle OEM Brand only.
b. The run-time software is used for one CUSTOMER PRODUCT only.
c. The run-time software is used for one µC derivate and compiler &amp; version only.
- Including MAINTENANCE (as defined on page "Definitions")
Additionally, the restrictions according to the LICENSE PROFILE defined on page "Scope of license" apply.</t>
  </si>
  <si>
    <t>282</t>
  </si>
  <si>
    <t>Development Maintenance for ECU Cross-Platform License for OEM</t>
  </si>
  <si>
    <t>- Extension of MAINTENANCE duration (as defined on page "Definitions") 
- Valid for existing ECU Cross-Platform License for OEM 
Please note: 
- Updates and bugfixes are provided for the latest software version only. 
- Tested only with the latest software version of related products (e.g., ELEKTROBIT TOOLING).</t>
  </si>
  <si>
    <t>283</t>
  </si>
  <si>
    <t>Training - additional participant</t>
  </si>
  <si>
    <t>284</t>
  </si>
  <si>
    <t>Consulting Package</t>
  </si>
  <si>
    <t>285</t>
  </si>
  <si>
    <t>Node Locked License (EB GUIDE SPEECH)</t>
  </si>
  <si>
    <t>- Perpetual DEVELOPMENT LICENSE per seat
- Includes free UPDATES to new product versions within the same primary version number for the first year.
- Node locked licenses for EB GUIDE require a permanent LAN adapter connected. WLAN network connection cannot be supported with the official Oracle Java JRE delivered with EB GUIDE.</t>
  </si>
  <si>
    <t>286</t>
  </si>
  <si>
    <t>Node Locked License Maintenance (EB GUIDE SPEECH)</t>
  </si>
  <si>
    <t>- Per seat
- Includes free UPDATES to new product versions within the same primary version number for 12 months.
- Node locked licenses for EB GUIDE require a permanent LAN adapter connected. WLAN network connection cannot be supported with the official Oracle Java JRE delivered with EB GUIDE.</t>
  </si>
  <si>
    <t>287</t>
  </si>
  <si>
    <t>Node Locked License Maintenance, Development (EB Assist ADTF 2 Toolbox)</t>
  </si>
  <si>
    <t>- Per seat
- Includes free UPDATES to new product versions within the same primary version number for 12 months.</t>
  </si>
  <si>
    <t>288</t>
  </si>
  <si>
    <t>Temporary Node Locked License (EB GUIDE SPEECH)</t>
  </si>
  <si>
    <t>289</t>
  </si>
  <si>
    <t>Node Locked License Upgrade (EB GUIDE SPEECH)</t>
  </si>
  <si>
    <t>290</t>
  </si>
  <si>
    <t>Partner Customer License</t>
  </si>
  <si>
    <t>Unlimited licenses for partners´ customers to use partners´ modules.</t>
  </si>
  <si>
    <t>291</t>
  </si>
  <si>
    <t>CAN Driver - Porting to new target</t>
  </si>
  <si>
    <t>Porting of the CAN Driver to support new target including qualification tests.</t>
  </si>
  <si>
    <t>292</t>
  </si>
  <si>
    <t>CAN Driver - Porting to new derivatives or new compiler releases</t>
  </si>
  <si>
    <t>Porting of the CAN Driver to support new derivatives or compiler releases including qualification tests.</t>
  </si>
  <si>
    <t>293</t>
  </si>
  <si>
    <t>Delivery of requirements tracing and tests reports</t>
  </si>
  <si>
    <t>Option: Delivery of requirements traceability from OEM to EB's Design and module tests reports.</t>
  </si>
  <si>
    <t>294</t>
  </si>
  <si>
    <t>Configuration according to projects´ specific requirements</t>
  </si>
  <si>
    <t>Option: Configuration of all the modules according to projects´ specific requirements including qualification tests.</t>
  </si>
  <si>
    <t>295</t>
  </si>
  <si>
    <t>LIN Driver - Porting to new target</t>
  </si>
  <si>
    <t>Porting of the LIN Driver to support new target including qualification tests.</t>
  </si>
  <si>
    <t>296</t>
  </si>
  <si>
    <t>LIN Driver - Porting to new derivatives or new compiler releases</t>
  </si>
  <si>
    <t>Porting of the LIN Driver to support new derivatives or compiler releases including qualification tests.</t>
  </si>
  <si>
    <t>297</t>
  </si>
  <si>
    <t>FLASH Driver - Porting to new target</t>
  </si>
  <si>
    <t>Porting of the FLASH Driver to support new target including qualification tests.</t>
  </si>
  <si>
    <t>298</t>
  </si>
  <si>
    <t>FLASH Driver - Porting to new derivatives or new compiler releases</t>
  </si>
  <si>
    <t>Porting of the FLASH Driver to support new derivatives or compiler releases including qualification tests.</t>
  </si>
  <si>
    <t>299</t>
  </si>
  <si>
    <t>OEM-restricted Project License</t>
  </si>
  <si>
    <t xml:space="preserve">The license is valid for one mass production project of one Tier1 product of the purchasing company and is restricted to one OEM and to one car model.
EB recognizes correct use, if the license is used according to EB T&amp;C Clause "2.1.3 Reproduction and Distribution License“ and in addition all of the following conditions are met: 
a. The run-time software is used for one OEM, only.
b. The run-time software is used for one car model, only.
c. The run-time software is used for one Tier1 product, only.
d. The run-time software is used in one ECU software version, only.
e. The run-time software is used for one HW microcontroller and compiler version, only.
The license is valid for the following license parameters:
- Mass production: yes
- Tier1 product: one, as defined in License Profile above.
- OEM: </t>
  </si>
  <si>
    <t>300</t>
  </si>
  <si>
    <t>Dongled License via EB Hardware Support &amp; Maintenance (EB MAid)</t>
  </si>
  <si>
    <t>301</t>
  </si>
  <si>
    <t>Development Maintenance for OEM-restricted Project License</t>
  </si>
  <si>
    <t>- Valid for one year
- Access to updates and bugfixes of the licensed product
Please Note:
* updates and bugfixes are given for the latest version of the product only
* tested only on Windows platform with the EB tresos Studio 2011.a version (tool version for OsekCore product) 
* requires an ongoing EB tresos Studio maintenance
* to receive a complete integrated and tested OsekCore product, additional Ipx and QPx services are recommended
For further details please refer to the annex PD_EB_tresos_Maintenance_and_Support_Annex.pdf</t>
  </si>
  <si>
    <t>302</t>
  </si>
  <si>
    <t>Development Maintenance for OEM-restricted Product Line License</t>
  </si>
  <si>
    <t>- Extension of MAINTENANCE duration (as defined on page "Definitions") 
- Valid for existing OEM restricted Product Line License 
Please note: 
- Updates and bugfixes are provided for the latest software version only. 
- Tested only with the latest software version of related products (e.g., ELEKTROBIT TOOLING).</t>
  </si>
  <si>
    <t>303</t>
  </si>
  <si>
    <t>Development Maintenance for OEM-restricted Company License</t>
  </si>
  <si>
    <t>- Valid for one year
- Access to updates and bugfixes of the licensed product
Please Note:
* updates and bugfixes are given for the latest version of the product only
* tested only with the latest version of related products, e.g., EB tresos Studio
* requires an ongoing EB tresos Studio maintenance
* to receive a complete integrated and tested AUTOSAR stack additional IP and QP update services are recommended
For further details please refer to the annex PD_EB_tresos_Maintenance_and_Support_Annex.pdf</t>
  </si>
  <si>
    <t>304</t>
  </si>
  <si>
    <t>Qualification Package - Compiler Options / MCU sub-derivative</t>
  </si>
  <si>
    <t>- Verification if OS release is compatible with the sub-derivative.
- Verification of custom compiler options.
- No adaptation of the OS source code included.</t>
  </si>
  <si>
    <t>305</t>
  </si>
  <si>
    <t>Porting Package – Product Update / Compiler Version Update</t>
  </si>
  <si>
    <t>Porting package to support a compiler version including a basic set of qualification tests.</t>
  </si>
  <si>
    <t>306</t>
  </si>
  <si>
    <t>Porting Package - Compiler</t>
  </si>
  <si>
    <t>Porting package to support a new compiler including a basic set of qualification tests.</t>
  </si>
  <si>
    <t>307</t>
  </si>
  <si>
    <t>Porting Package - MCU Derivative</t>
  </si>
  <si>
    <t>Porting package to support a new derivative of an existing MCU family including a basic set of qualification tests.</t>
  </si>
  <si>
    <t>308</t>
  </si>
  <si>
    <t>Porting Package - MCU Family</t>
  </si>
  <si>
    <t>Porting package to support a new MCU family including a basic set of qualification tests.</t>
  </si>
  <si>
    <t>309</t>
  </si>
  <si>
    <t>Qualification Package - Safety Approval</t>
  </si>
  <si>
    <t>EB safety approval stating that additional verification measures to ensure that release criteria for projects up to ASIL-D are met were carried out. This can be ordered for production quality releases together with a qualification or porting package.</t>
  </si>
  <si>
    <t>310</t>
  </si>
  <si>
    <t>Single-User Evaluation License</t>
  </si>
  <si>
    <t>- Single-User License (as defined in Elektrobit T&amp;C) 
- Further specifications can be found in the related "Evaluation license agreement" which need to be signed by CUSTOMER and Elektrobit.</t>
  </si>
  <si>
    <t>311</t>
  </si>
  <si>
    <t>Partner Customer Evaluation License</t>
  </si>
  <si>
    <t>- Single-User Licenses (as defined in Elektrobit T&amp;C) for partners of CUSTOMERS, to evaluate partners modules and EB tresos Studio.</t>
  </si>
  <si>
    <t>312</t>
  </si>
  <si>
    <t>Single-User License (limited)</t>
  </si>
  <si>
    <t>313</t>
  </si>
  <si>
    <t>Customization Package</t>
  </si>
  <si>
    <t>314</t>
  </si>
  <si>
    <t>Eth Driver - Porting to new derivatives or new compiler releases</t>
  </si>
  <si>
    <t>315</t>
  </si>
  <si>
    <t>Qualification Package - Platform</t>
  </si>
  <si>
    <t>- Platform-dependent build of module
- Verification of platform assumptions
- Verification assumptions from tool qualification plan and documentation in tool qualification report
- Issue of quality record</t>
  </si>
  <si>
    <t>316</t>
  </si>
  <si>
    <t>Qualification Package for Bootloader - Update</t>
  </si>
  <si>
    <t>Update of qualification tests of the hw-independent modules which belongs to the bootloader on the project target/compiler.</t>
  </si>
  <si>
    <t>317</t>
  </si>
  <si>
    <t>Integration Package for Bootloader - Update</t>
  </si>
  <si>
    <t>Update of the integration of all the modules which belong to the Bootloader (hw-dependent and hw-independant).
Integration tests are re-executed on the target/compiler of the project.</t>
  </si>
  <si>
    <t>318</t>
  </si>
  <si>
    <t>QP4 (without ordering LIN Slave Stack)</t>
  </si>
  <si>
    <t>319</t>
  </si>
  <si>
    <t>QP4.up (without ordering LIN Slave Stack)</t>
  </si>
  <si>
    <t>Update of qualification tests of this module on the project target/compiler.</t>
  </si>
  <si>
    <t>320</t>
  </si>
  <si>
    <t>EB TOOLING DEVELOPMENT LICENSE STUDIO - 10 SEATS PACKAGE</t>
  </si>
  <si>
    <t>- EB GUIDE Version: 6.x
- EB GUIDE Studio Speech Extension incl. Language Package.
- Number of seats: 10 seats
- Limitation in time: 12 months
- Support and Service: 
  Includes update right and 10 hours product support via email ticket system for 12 months.
- Source Code Disclosure: not available
RUNTIME SOFTWARE TARGET SYSTEM: Standard EB GUIDE TF Rapid Prototyping Ports as listed in the current EB GUIDE TF Ports Product Description.</t>
  </si>
  <si>
    <t>321</t>
  </si>
  <si>
    <t>ADAPTATION OF RUNTIME SOFTWARE</t>
  </si>
  <si>
    <t>322</t>
  </si>
  <si>
    <t>Unlimited License (EB Assist ADTF)</t>
  </si>
  <si>
    <t>- Perpetual DEVELOPMENT LICENSE without limitation in seats
- License key is not required</t>
  </si>
  <si>
    <t>323</t>
  </si>
  <si>
    <t>Dongled License change from previous version</t>
  </si>
  <si>
    <t>Dongled License. Perpetual,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t>
  </si>
  <si>
    <t>324</t>
  </si>
  <si>
    <t>Dongled License extension of previous version</t>
  </si>
  <si>
    <t>Dongled License. Perpetual, full-featured license. License extension of previous version to offered version. After license extension this license can also be used for the offered version of EB tresos Studio. Maintenance of the existing version of EB tresos Studio will be considered within the offered version.</t>
  </si>
  <si>
    <t>325</t>
  </si>
  <si>
    <t>Single-User License change from previous version</t>
  </si>
  <si>
    <t>Single-User License. Perpetual,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t>
  </si>
  <si>
    <t>326</t>
  </si>
  <si>
    <t>Single-User License extension of previous version</t>
  </si>
  <si>
    <t>Single-User License. Perpetual, full-featured license. License extension of previous version to offered version. After license extension this license can also be used for the offered version of EB tresos Studio. Maintenance of the existing version of EB tresos Studio will be considered within the offered version.</t>
  </si>
  <si>
    <t>327</t>
  </si>
  <si>
    <t>Floating License change from previous version</t>
  </si>
  <si>
    <t>Floating License. Perpetual, concurrent,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t>
  </si>
  <si>
    <t>328</t>
  </si>
  <si>
    <t>Floating License extension of previous version</t>
  </si>
  <si>
    <t>Floating License. Perpetual, concurrent, full-featured license. License extension of previous version to offered version. After license extension this license can also be used for the offered version of EB tresos Studio. Maintenance of the existing version of EB tresos Studio will be considered within the offered version.</t>
  </si>
  <si>
    <t>329</t>
  </si>
  <si>
    <t>Single User License (Flashbuilder)</t>
  </si>
  <si>
    <t>The license entitles employees of CUSTOMER to use the DELIVERABLE on one personal computer owned by or under the control of LICENSEE. The license does not allow to install the DELIVERABLES on multiple personal computers or otherwise enable the use of the DELIVERABLE to more than one developer, e.g. network or virtualization. This type of license is usually used in project related development teams. Every engineer has its own license.</t>
  </si>
  <si>
    <t>330</t>
  </si>
  <si>
    <t>Evaluation License</t>
  </si>
  <si>
    <t>Further specifications can be found in the related "Evaluation license agreement" which need to be signed by CUSTOMER and Elektrobit.</t>
  </si>
  <si>
    <t>331</t>
  </si>
  <si>
    <t>Dongled-Evaluation License</t>
  </si>
  <si>
    <t>332</t>
  </si>
  <si>
    <t>Customization Package of NM module for OEM</t>
  </si>
  <si>
    <t>Adaptation of the NM module code according to the OEM specification, including qualification on Windows platform.</t>
  </si>
  <si>
    <t>333</t>
  </si>
  <si>
    <t>Integration Package for NM module in ACG</t>
  </si>
  <si>
    <t>Integration of the NM module and the NM wrapper with a dedicated ACG release.
Integration tests (based on stubs of ACG components) are executed on Windows platform.</t>
  </si>
  <si>
    <t>334</t>
  </si>
  <si>
    <t>Integration Package for NM module in ACG - Update</t>
  </si>
  <si>
    <t>Update of the integration of the NM module and the NM wrapper with a dedicated ACG release.
Integration tests (based on stubs of ACG components) are executed on Windows platform.</t>
  </si>
  <si>
    <t>335</t>
  </si>
  <si>
    <t>Qualification Package for OsekCore</t>
  </si>
  <si>
    <t>Qualification tests of the hw-independent modules which belong to the Stack on the
project target/compiler.</t>
  </si>
  <si>
    <t>336</t>
  </si>
  <si>
    <t>Qualification Package for OsekCore - Update</t>
  </si>
  <si>
    <t>Update of qualification tests of the hw-independent modules which belong to the
Stack on the project target/compiler.</t>
  </si>
  <si>
    <t>337</t>
  </si>
  <si>
    <t>Customization Package of NM Wrapper module for OEM</t>
  </si>
  <si>
    <t>Adaptation of the NM Wrapper module code according to the OEM specification, including qualification on Windows platform.</t>
  </si>
  <si>
    <t>338</t>
  </si>
  <si>
    <t>Integration Package for OsekCore</t>
  </si>
  <si>
    <t>Integration of all the modules which belong to the Stack (hw-independent and hw-dependant).
Integration tests are executed on the target/compiler of the project.</t>
  </si>
  <si>
    <t>339</t>
  </si>
  <si>
    <t>Integration Package for OsekCore - Update</t>
  </si>
  <si>
    <t>Update of the integration of all the modules which belong to the Stack (hw-dependent
and hw-independant).
Integration tests are re-executed on the target/compiler of the project.</t>
  </si>
  <si>
    <t>340</t>
  </si>
  <si>
    <t>Floating License (limited)</t>
  </si>
  <si>
    <t>341</t>
  </si>
  <si>
    <t>BU License for Tier 1</t>
  </si>
  <si>
    <t>The CUSTOMER gets the right to use the license under the following condition:
a. The run-time software is used for one µC family and compiler version only.
b. The run-time software is used by one Business unit of the CUSTOMER.
- Including MAINTENANCE (as defined on page "Definitions")
Additionally, the restrictions according to the LICENSE PROFILE defined on page "Scope of license" apply.</t>
  </si>
  <si>
    <t>342</t>
  </si>
  <si>
    <t>FLASH Driver - Qualification Package - Compiler Options</t>
  </si>
  <si>
    <t>Qualification of the Driver with custom compiler options. No adaptation of the Driver source code included.</t>
  </si>
  <si>
    <t>343</t>
  </si>
  <si>
    <t>FLASH Driver - Porting Package – Compiler Version Update</t>
  </si>
  <si>
    <t>Porting of the Driver to support a new compiler version including qualification tests.</t>
  </si>
  <si>
    <t>344</t>
  </si>
  <si>
    <t>FLASH Driver - Porting Package - Compiler</t>
  </si>
  <si>
    <t>Porting of the Driver to support a new compiler including qualification tests.</t>
  </si>
  <si>
    <t>345</t>
  </si>
  <si>
    <t>FLASH Driver - Porting Package - MCU Derivative</t>
  </si>
  <si>
    <t>Porting of the Driver to support a new derivative of an existing MCU family including qualification tests.</t>
  </si>
  <si>
    <t>346</t>
  </si>
  <si>
    <t>FLASH Driver - Porting Package - MCU Family</t>
  </si>
  <si>
    <t>Porting of the Driver to support a new MCU family including qualification tests.</t>
  </si>
  <si>
    <t>347</t>
  </si>
  <si>
    <t>CAN Driver - Qualification Package - Compiler Options</t>
  </si>
  <si>
    <t>348</t>
  </si>
  <si>
    <t>CAN Driver - Porting Package – Compiler Version Update</t>
  </si>
  <si>
    <t>349</t>
  </si>
  <si>
    <t>CAN Driver - Porting Package - Compiler</t>
  </si>
  <si>
    <t>350</t>
  </si>
  <si>
    <t>CAN Driver - Porting Package - MCU Family</t>
  </si>
  <si>
    <t>351</t>
  </si>
  <si>
    <t>CAN Driver - Porting Package - MCU Derivative</t>
  </si>
  <si>
    <t>352</t>
  </si>
  <si>
    <t>LIN Driver - Qualification Package - Compiler Options</t>
  </si>
  <si>
    <t>353</t>
  </si>
  <si>
    <t>LIN Driver - Porting Package – Compiler Version Update</t>
  </si>
  <si>
    <t>354</t>
  </si>
  <si>
    <t>LIN Driver - Porting Package - Compiler</t>
  </si>
  <si>
    <t>355</t>
  </si>
  <si>
    <t>LIN Driver - Porting Package - MCU Derivative</t>
  </si>
  <si>
    <t>356</t>
  </si>
  <si>
    <t>LIN Driver - Porting Package - MCU Family</t>
  </si>
  <si>
    <t>357</t>
  </si>
  <si>
    <t>Floating License, Run-time (EB Assist ADTF)</t>
  </si>
  <si>
    <t>-Perpetual RUNTIME LICENSE per seat;
-Includes free UPDATES to new product versions within the same primary version number for the first year.
-Includes all standard toolboxes</t>
  </si>
  <si>
    <t>358</t>
  </si>
  <si>
    <t>Company License (EB GUIDE TF)</t>
  </si>
  <si>
    <t>359</t>
  </si>
  <si>
    <t>Node Locked License, Development CDR (EB Assist ADTF Toolbox)</t>
  </si>
  <si>
    <t>- Perpetual DEVELOPMENT LICENSE per seat</t>
  </si>
  <si>
    <t>360</t>
  </si>
  <si>
    <t>Floating License, Run-time (EB Assist ADTF Toolboxes)</t>
  </si>
  <si>
    <t>361</t>
  </si>
  <si>
    <t>Floating License Maintenance, Run-time (EB Assist ADTF Toolbox)</t>
  </si>
  <si>
    <t>362</t>
  </si>
  <si>
    <t>Floating License, Developer (EB Assist ADTF Toolboxes)</t>
  </si>
  <si>
    <t>- Perpetual TOOLBOX DEVELOPER LICENSE per seat;
-Includes free UPDATES to new product versions within the same primary version number for the first year.
-Applies to ADTF 2 - Calibration Toolbox or ADTF 2 – ML/SL Toolbox</t>
  </si>
  <si>
    <t>363</t>
  </si>
  <si>
    <t>Floating License Maintenance, Development (EB Assist ADTF Toolbox)</t>
  </si>
  <si>
    <t>364</t>
  </si>
  <si>
    <t>Project Development License (EB GUIDE GTF)</t>
  </si>
  <si>
    <t>365</t>
  </si>
  <si>
    <t>IP</t>
  </si>
  <si>
    <t>366</t>
  </si>
  <si>
    <t>IP.up</t>
  </si>
  <si>
    <t>367</t>
  </si>
  <si>
    <t>QP</t>
  </si>
  <si>
    <t>368</t>
  </si>
  <si>
    <t>QP.up</t>
  </si>
  <si>
    <t>369</t>
  </si>
  <si>
    <t>Startup Package</t>
  </si>
  <si>
    <t>370</t>
  </si>
  <si>
    <t>Update Package</t>
  </si>
  <si>
    <t>Update of a Startup Package</t>
  </si>
  <si>
    <t>371</t>
  </si>
  <si>
    <t>Node-Locked Evaluation License (EB robinos)</t>
  </si>
  <si>
    <t>372</t>
  </si>
  <si>
    <t>Node Locked License (EB robinos)</t>
  </si>
  <si>
    <t>- Perpetual LICENSE per seat;
- Includes free UPDATES to new product versions within the same primary version number for the first year.
- EB Assist ADTF 2 Development License not included.
- Source code is not included.
Precondition: Valid EB Assist ADTF 2 Development License. 
This license is meant for non-mass-production projects.</t>
  </si>
  <si>
    <t>373</t>
  </si>
  <si>
    <t>Node Locked License Maintenance (EB robinos)</t>
  </si>
  <si>
    <t>374</t>
  </si>
  <si>
    <t>Device Locked License (EB robinos)</t>
  </si>
  <si>
    <t>- Perpetual LICENSE per device;
- Includes free UPDATES to new product versions within the same primary version number for the first year.
- Source code is not included.
This license is meant for non-mass-production projects.</t>
  </si>
  <si>
    <t>375</t>
  </si>
  <si>
    <t>Device Locked Project License (EB robinos)</t>
  </si>
  <si>
    <t>- Perpetual LICENSE per project;
- Includes free UPDATES to new product versions within the same primary version number for the first year.
Specific target system:
- Specific HW: tbd
- µController: tbd
- OS: tbd
- Application Framework: tbd
- Compiler + settings: tbd</t>
  </si>
  <si>
    <t>376</t>
  </si>
  <si>
    <t>Training (ACU)</t>
  </si>
  <si>
    <t>377</t>
  </si>
  <si>
    <t>Training (EB HAD Basics)</t>
  </si>
  <si>
    <t>378</t>
  </si>
  <si>
    <t>Training (EB Assist ADTF 3)</t>
  </si>
  <si>
    <t>379</t>
  </si>
  <si>
    <t>Company License, Development (EB Assist ADTF 2 Toolbox)</t>
  </si>
  <si>
    <t>380</t>
  </si>
  <si>
    <t>Company License, Maintenance (EB Assist ADTF 2 Toolbox)</t>
  </si>
  <si>
    <t>381</t>
  </si>
  <si>
    <t>Porting package - BL Platform</t>
  </si>
  <si>
    <t>Porting package to support a new feature set or compiler version including a basic set of qualification tests.</t>
  </si>
  <si>
    <t>382</t>
  </si>
  <si>
    <t>Node Locked License (EB robinos Reconstructor ADASISv3 for EB Assist ADTF)</t>
  </si>
  <si>
    <t>- Perpetual LICENSE per seat;
- Includes free UPDATES to new product versions within the same primary version number for 12 months.</t>
  </si>
  <si>
    <t>383</t>
  </si>
  <si>
    <t>Node Locked License Maintenance (EB robinos Reconstructor ADASISv3 for EB Assist ADTF)</t>
  </si>
  <si>
    <t>384</t>
  </si>
  <si>
    <t>Development Maintenance for BU License for Tier 1</t>
  </si>
  <si>
    <t>- Extension of MAINTENANCE duration (as defined on page "Definitions")
- Valid for existing BU License for Tier 1
Please note:
- Updates and bugfixes are provided for the latest software version only.
- Tested only with the latest software version of related products (e.g., ELEKTROBIT TOOLING).</t>
  </si>
  <si>
    <t>385</t>
  </si>
  <si>
    <t>EB TOOLING DEVELOPMENT LICENSE STUDIO - BASE PACKAGE</t>
  </si>
  <si>
    <t>DEVELOPMENT LICENSE including:
- EB GUIDE Version: 6.x
- EB GUIDE Studio Speech Extension incl. Language Package
- Number of seats: 1 seat
- Limitation in time: 12 months
- Support and Service:
Includes update right and 10 hours product support via e-mail ticket system for 12 months.
- Source Code Disclosure: not available
- EB GUIDE GTF Rapid Prototyping Ports as listed in latest version of document "EB GUIDE 6 Graphics Target Framework (GTF) Ports"</t>
  </si>
  <si>
    <t>386</t>
  </si>
  <si>
    <t>EB TOOLING DEVELOPMENT LICENSE STUDIO - ADDITIONAL SEAT</t>
  </si>
  <si>
    <t>Additional seat for EB GUIDE 6 Studio Enterprise License - Base Package:
- Number of additional seats: 1 seat
- Limitation in time: 12 months
- Includes update right for 12 months
Precondition: valid EB GUIDE 6 Studio Enterprise License - Base Package</t>
  </si>
  <si>
    <t>387</t>
  </si>
  <si>
    <t>Node Locked License, Run-time, 3 months (EB Assist ADTF)</t>
  </si>
  <si>
    <t>- Includes free UPDATES to new product versions within the same primary version number.</t>
  </si>
  <si>
    <t>388</t>
  </si>
  <si>
    <t>Node Locked License, Run-time, 6 months (EB Assist ADTF)</t>
  </si>
  <si>
    <t>389</t>
  </si>
  <si>
    <t>Node Locked License, Run-time, 12 months (EB Assist ADTF)</t>
  </si>
  <si>
    <t>390</t>
  </si>
  <si>
    <t>Intermediate (Product Service)</t>
  </si>
  <si>
    <t>391</t>
  </si>
  <si>
    <t>Intermediate (License incl. update right)</t>
  </si>
  <si>
    <t>- Perpetual license</t>
  </si>
  <si>
    <t>392</t>
  </si>
  <si>
    <t>Intermediate (Update right)</t>
  </si>
  <si>
    <t>393</t>
  </si>
  <si>
    <t>Intermediate (License w/o update right)</t>
  </si>
  <si>
    <t>- Perpetual license, without update right</t>
  </si>
  <si>
    <t>394</t>
  </si>
  <si>
    <t>Intermediate (Temporary license)</t>
  </si>
  <si>
    <t>395</t>
  </si>
  <si>
    <t>Support Package (EB robinos)</t>
  </si>
  <si>
    <t>396</t>
  </si>
  <si>
    <t>Device Locked License Maintenance (EB robinos)</t>
  </si>
  <si>
    <t>- Per device
- Includes free UPDATES to new product versions within the same primary version number for 12 months.
Precondition: Running support &amp; maintenance contract.</t>
  </si>
  <si>
    <t>397</t>
  </si>
  <si>
    <t>Node Locked License (EB robinos Reconstructor ADASISv2 for EB Assist ADTF)</t>
  </si>
  <si>
    <t>398</t>
  </si>
  <si>
    <t>Node Locked License Maintenance (EB robinos Reconstructor ADASISv2 for EB Assist ADTF)</t>
  </si>
  <si>
    <t>399</t>
  </si>
  <si>
    <t>Node Locked License (EB robinos Provider ADASISv3 for EB Assist ADTF)</t>
  </si>
  <si>
    <t xml:space="preserve">
- Perpetual LICENSE per seat;
- Includes free UPDATES to new product versions within the same primary version number for 12 months.</t>
  </si>
  <si>
    <t>400</t>
  </si>
  <si>
    <t>Node Locked License Maintenance (EB robinos Provider ADASISv3 for EB Assist ADTF)</t>
  </si>
  <si>
    <t>- Perpetual LICENSE per seat
- Includes free UPDATES to new product versions within the same primary version number for 12 month</t>
  </si>
  <si>
    <t>401</t>
  </si>
  <si>
    <t>EB TOOLING DEVELOPMENT LICENSE STUDIO - 10 SEATS PACKAGE (JP)</t>
  </si>
  <si>
    <t>- EB GUIDE Version: 6.x
- EB GUIDE Studio Speech Extension incl. Language Package.
- Number of seats: 10 seats
- Limitation in time: 12 months
- Includes update right for 12 months.
- Source Code Disclosure: not available
RUNTIME SOFTWARE TARGET SYSTEM: Standard EB GUIDE TF Rapid Prototyping Ports as listed in the current EB GUIDE TF Ports Product Description</t>
  </si>
  <si>
    <t>402</t>
  </si>
  <si>
    <t>EB TOOLING DEVELOPMENT LICENSE STUDIO - 1 SEAT PACKAGE (JP)</t>
  </si>
  <si>
    <t>- EB GUIDE Version: 6.x
- EB GUIDE Studio Speech Extension incl. Language Package.
- Number of seats: 1 seat
- Limitation in time: 12 months
- Includes update right for 12 months.
- Source Code Disclosure: not available
RUNTIME SOFTWARE TARGET SYSTEM: Standard EB GUIDE TF Rapid Prototyping Ports as listed in the current EB GUIDE TF Ports Product Description</t>
  </si>
  <si>
    <t>403</t>
  </si>
  <si>
    <t>Support Package (10h) (EB GUIDE)</t>
  </si>
  <si>
    <t>- Includes 10 hours Q&amp;A support for 12 months.
- Support via email and phone.</t>
  </si>
  <si>
    <t>404</t>
  </si>
  <si>
    <t>Support Package (20h) (EB GUIDE)</t>
  </si>
  <si>
    <t>- Includes 20 hours Q&amp;A support for 12 months.
- Support via email and phone.</t>
  </si>
  <si>
    <t>405</t>
  </si>
  <si>
    <t>Development License (EB robinos)</t>
  </si>
  <si>
    <t>Development Licence and Support Package for customers who want to integrate EB robinos ADASIS software library into their HW and SW environment by their own (not needed if the product is sold as part of a EB customer project)
includes:
- delivery of the newest Version
- up to 80h of technical support within 1 year
- updates to new software releases within 1 year</t>
  </si>
  <si>
    <t>406</t>
  </si>
  <si>
    <t>Development License Maintenance (EB robinos)</t>
  </si>
  <si>
    <t>Extension of the Development Licence and Support Package for another 1 year
(not needed if the product is sold as part of a EB customer project)
includes:
- delivery of the newest Version 
- up to 80h of technical support within 1 year
- updates to new software releases within 1 year</t>
  </si>
  <si>
    <t>407</t>
  </si>
  <si>
    <t>Royalty price per unit (&amp;lt; 200.000 units)</t>
  </si>
  <si>
    <t>Royality based invoicing per year. 
 In compliance with paragraph 2.1 of the EB License Terms and Conditions, EB  grants to the customer under the EB Intellectual Property Rights a non-exclusive, worldwide, non-transferable, royalty-bearing license, limited and restricted to a certain amount of target units.</t>
  </si>
  <si>
    <t>408</t>
  </si>
  <si>
    <t>Royalty price per unit  (units 200,001 to 500,000)</t>
  </si>
  <si>
    <t>Royality based invoicing per year. 
In compliance with paragraph 2.1 of the EB License Terms and Conditions, EB  grants to the customer under the EB Intellectual Property Rights a non-exclusive, worldwide, non-transferable, royalty-bearing license, limited and restricted to a certain amount of target units.</t>
  </si>
  <si>
    <t>409</t>
  </si>
  <si>
    <t>Royalty price per unit (units 500,001 to 1,000,000)</t>
  </si>
  <si>
    <t>410</t>
  </si>
  <si>
    <t>Royalty price per unit  (units 1,000,001 to 2,000,000)</t>
  </si>
  <si>
    <t>411</t>
  </si>
  <si>
    <t>Royalty price per unit  (units above 2,000,001)</t>
  </si>
  <si>
    <t>412</t>
  </si>
  <si>
    <t>Node Locked Evaluation License (EB robinos Reconstructor for EB Assist ADTF)</t>
  </si>
  <si>
    <t>In compliance with paragraph 2.1 of the EB License Terms and Conditions, EB  grants to the customer under the EB Intellectual Property Rights a non-exclusive, worldwide, non-transferable, free temporary license, limited and restricted to a timeframe of six month (with possible extension after that), to a single seat and restricted to non-mass-production projects.</t>
  </si>
  <si>
    <t>413</t>
  </si>
  <si>
    <t>one time license: Target Porting</t>
  </si>
  <si>
    <t>In compliance with paragraph 2.1 of the EB License Terms and Conditions, EB  grants to the customer under the EB Intellectual Property Rights a non-exclusive, worldwide, non-transferable, fee-bearing license, limited , restricted to a specific project and restricted to the commission target platform.</t>
  </si>
  <si>
    <t>414</t>
  </si>
  <si>
    <t>Development License (EB cadian)</t>
  </si>
  <si>
    <t>- Right to use EB cadian Sync onboard components for defined integration project
- Hosting of one customer specific server instance incl.:
- warranty and liability
- email support and issue analyzing via Jira queue
- services:
- issue and ticket management
- fixing of errors
- reporting and metrics
- providing support infrastructure
- Includes 80 support hours annually (e.g.:
- advice on efficient usage of EB cadian Sync
- license has to be ordered from SOD until latest SOP of the project
- precondition to apply for project specific optimization
- precondition to apply project specific extension
- does not include Production License</t>
  </si>
  <si>
    <t>415</t>
  </si>
  <si>
    <t>Service subscription</t>
  </si>
  <si>
    <t>The license is valid for one mass production project of one Tier1 product of the purchasing company and is restricted to one Vehicle OEM and to one Vehicle Model Generation.
EB recognizes correct use, if the license is used according to EB T&amp;C Clause "2.1.3 Reproduction and Distribution License“ and in addition all of the following conditions are met:
a. The run-time software is used for one Vehicle OEM only.
b. The run-time software is used for one Vehicle Model Generation only.
Additionally the license is valid for the following license parameters:
- Mass production: yes
- Vehicle Model Generation: one, as defined in License Profile above.
- Duration: one year</t>
  </si>
  <si>
    <t>416</t>
  </si>
  <si>
    <t>Client subscription per 1000 units</t>
  </si>
  <si>
    <t>In compliance with paragraph 2.1 of the EB License Terms and Conditions, EB  grants to the customer under the EB Intellectual Property Rights a non-exclusive, worldwide, non-transferable, royalty-bearing license, limited and restricted to a certain amount of target units per year.</t>
  </si>
  <si>
    <t>417</t>
  </si>
  <si>
    <t>Client subscription per 1000 units (1-250k managed vehicles)</t>
  </si>
  <si>
    <t>418</t>
  </si>
  <si>
    <t>Client subscription per 1000 units (&gt;50-250k managed vehicles)</t>
  </si>
  <si>
    <t>419</t>
  </si>
  <si>
    <t>Client subscription per 1000 units (&gt;250-500k managed vehicles)</t>
  </si>
  <si>
    <t>420</t>
  </si>
  <si>
    <t>Client subscription per 1000 units (&gt;500-1M managed vehicles)</t>
  </si>
  <si>
    <t>421</t>
  </si>
  <si>
    <t>Client subscription per 1000 units (&gt;1M-3M managed vehicles)</t>
  </si>
  <si>
    <t>422</t>
  </si>
  <si>
    <t>Client subscription per 1000 units (&gt;3M managed vehicles)</t>
  </si>
  <si>
    <t>423</t>
  </si>
  <si>
    <t>Flatrate subscription (up to 500k units)</t>
  </si>
  <si>
    <t>The license is valid for one mass production project of one Tier1 product of the purchasing company and is restricted to one Vehicle OEM
and to one Vehicle Model Generation.
EB recognizes correct use, if the license is used according to EB T&amp;C Clause "2.1.3 Reproduction and Distribution License“ and in addition all
of the following conditions are met:
a. The run-time software is used for one Vehicle OEM only.
b. The run-time software is used for one Vehicle Model Generation only.
c. The run-time software is used for one Tier1 product only.
d. The run-time software is used in one ECU software version only.
e. The run-time software is used for one HW microcontroller derivate and compiler version only.
Additionally the license is valid for the following license parameters:
- Mass production: yes
- Tier1 product: one, as defined in License Profile above.
- Vehicle OEM: one, as defined in License Profile above.
- Vehicle Model Generation: one, as defined in License Profile above.
- Tier1: one, as defined in License Profile above.
- ECU Software version: one
- μC &amp; compiler: one hw derivate and one compiler, as defined in License Profile above.
- Duration: one year
EB defines a Tier1 product as follows:
a. ECUs of a Tier1 product carry out the same basic control functionality, e.g., Park Assistant, Airbag, Climate Control Unit, Lane Departure
Warning, Wind shield wipers.
b. Variations of the basic control functionalities in the ECUs only reflect the differences of multiple OEM car model generations, for which the
ECUs of a Tier1 product are built for.
EB defines an ECU software version as follows:
a. One specific binary of an ECU software.
b. Variations of the control functionalities for different car models within the platform are implemented in the ECU software by calibration
parameters, calibration tables, pre-compile or pre-build software configuration, only.</t>
  </si>
  <si>
    <t>424</t>
  </si>
  <si>
    <t>Flatrate subscription (&gt;500k up to 1M units)</t>
  </si>
  <si>
    <t>425</t>
  </si>
  <si>
    <t>Flatrate subscription (&gt;1M units)</t>
  </si>
  <si>
    <t>426</t>
  </si>
  <si>
    <t>Client subscription per 1000 units (up to 500k units)</t>
  </si>
  <si>
    <t>427</t>
  </si>
  <si>
    <t>Client subscription per 1000 units (&gt;500k up to 1M units)</t>
  </si>
  <si>
    <t>428</t>
  </si>
  <si>
    <t>Client subscription per 1000 units (&gt;1M units)</t>
  </si>
  <si>
    <t>429</t>
  </si>
  <si>
    <t>430</t>
  </si>
  <si>
    <t>Project License (EB cadian)</t>
  </si>
  <si>
    <t>The license is valid for one mass production project of one Tier1 product of the purchasing company and is restricted to one Vehicle OEM and to one Vehicle Model Generation.
EB recognizes correct use, if the license is used according to EB T&amp;C Clause "2.1.3 Reproduction and Distribution License“ and in addition all of the following conditions are met:
a. The run-time software is used for one Vehicle OEM only.
B. The run-time software is used for one Vehicle Model Generation only.
Additionally the license is valid for the following license parameters:
- Mass production: yes
- Vehicle OEM: one, as defined in License Profile above.
- Duration: perpetual</t>
  </si>
  <si>
    <t>431</t>
  </si>
  <si>
    <t>Node Locked License Maintenance Extension, Run-time (EB Assist ADTF Toolboxes)</t>
  </si>
  <si>
    <t xml:space="preserve">
- Per seat;
-Includes free UPDATES to new product versions within the same primary version number for 12 months.
-Applies to ADTF 2 - Calibration Toolbox or ADTF 2 – ML/SL Toolbox</t>
  </si>
  <si>
    <t>432</t>
  </si>
  <si>
    <t>Floating License, Development (EB Assist ADTF 2)</t>
  </si>
  <si>
    <t>- Perpetual, concurrent DEVELOPMENT LICENSE per seat
- Includes 20h Support  for the first year
- Includes all standard toolboxes</t>
  </si>
  <si>
    <t>433</t>
  </si>
  <si>
    <t>Node Locked License, Run-time (EB Assist ADTF 2)</t>
  </si>
  <si>
    <t>- Perpetual RUN-TIME LICENSE per seat
- Includes all standard toolboxes</t>
  </si>
  <si>
    <t>434</t>
  </si>
  <si>
    <t>Floating License, Run-time (EB Assist ADTF 2)</t>
  </si>
  <si>
    <t>- Perpetual, concurrent RUN-TIME LICENSE per seat
- Includes all standard toolboxes</t>
  </si>
  <si>
    <t>435</t>
  </si>
  <si>
    <t>Node Locked License, Development, 3 months (EB Assist ADTF 2)</t>
  </si>
  <si>
    <t>- DEVELOPMENT LICENSE per seat
- Includes 3h Support
- Includes all standard toolboxes</t>
  </si>
  <si>
    <t>436</t>
  </si>
  <si>
    <t>Node Locked License, Development, 6 months (EB Assist ADTF 2)</t>
  </si>
  <si>
    <t>- DEVELOPMENT LICENSE per seat
- Includes 5h Support
- Includes all standard toolboxes</t>
  </si>
  <si>
    <t>437</t>
  </si>
  <si>
    <t>Node Locked License, Development, 12 months (EB Assist ADTF 2)</t>
  </si>
  <si>
    <t>- DEVELOPMENT LICENSE per seat
- Includes 10h Support
- Includes all standard toolboxes</t>
  </si>
  <si>
    <t>438</t>
  </si>
  <si>
    <t>Node Locked License, Run-time, 3 months (EB Assist ADTF 2)</t>
  </si>
  <si>
    <t>- RUN-TIME LICENSE per seat
- Includes all standard toolboxes</t>
  </si>
  <si>
    <t>439</t>
  </si>
  <si>
    <t>Node Locked License, Run-time, 6 months (EB Assist ADTF 2)</t>
  </si>
  <si>
    <t>440</t>
  </si>
  <si>
    <t>Node Locked License, Run-time, 12 months (EB Assist ADTF 2)</t>
  </si>
  <si>
    <t>441</t>
  </si>
  <si>
    <t>Node Locked License, Development (EB Assist ADTF 2 Toolbox)</t>
  </si>
  <si>
    <t>442</t>
  </si>
  <si>
    <t>Floating License, Development (EB Assist ADTF 2 Toolboxes)</t>
  </si>
  <si>
    <t>- Perpetual, concurrent DEVELOPMENT LICENSE per seat</t>
  </si>
  <si>
    <t>443</t>
  </si>
  <si>
    <t>Node Locked License, Run-time (EB Assist ADTF 2 Toolbox)</t>
  </si>
  <si>
    <t>- Perpetual RUN-TIME LICENSE per seat</t>
  </si>
  <si>
    <t>444</t>
  </si>
  <si>
    <t>Floating License, Run-time (EB Assist ADTF 2 Toolboxes)</t>
  </si>
  <si>
    <t>- Perpetual, concurrent RUN-TIME LICENSE per seat</t>
  </si>
  <si>
    <t>445</t>
  </si>
  <si>
    <t>Node Locked License, Development (EB Assist ADTF 2)</t>
  </si>
  <si>
    <t>- Perpetual DEVELOPMENT LICENSE per seat
- Includes 20h Support for the first year
- Includes all standard toolboxes</t>
  </si>
  <si>
    <t>446</t>
  </si>
  <si>
    <t>Node-Locked License, Development (EB Assist ADTF 3)</t>
  </si>
  <si>
    <t>- Developer License – Node Locked (as defined in "EB Assist License Terms") 
- Including MAINTENANCE (as defined on page "Definitions") 
- Includes 10-hour Elektrobit product-related support by phone or support portal. Quota valid for 12 months</t>
  </si>
  <si>
    <t>447</t>
  </si>
  <si>
    <t>Node-Locked License Maintenance, Development (EB Assist ADTF 3)</t>
  </si>
  <si>
    <t>- Extension of MAINTENANCE duration (as defined on page "Definitions") 
- Valid for existing Developer License – Node Locked (as defined in "EB Assist License Terms") 
- Includes 10-hour Elektrobit product-related support by phone or support portal. Quota valid for 12 months</t>
  </si>
  <si>
    <t>448</t>
  </si>
  <si>
    <t>Floating License, Development (EB Assist ADTF 3)</t>
  </si>
  <si>
    <t>- Developer License – Floating per seat (as defined in "EB Assist License Terms") 
- Including MAINTENANCE (as defined on page "Definitions") 
- Includes 10-hour Elektrobit product-related support by phone or support portal. Quota valid for 12 months</t>
  </si>
  <si>
    <t>449</t>
  </si>
  <si>
    <t>Floating License Maintenance, Development (EB Assist ADTF 3)</t>
  </si>
  <si>
    <t>- Extension of MAINTENANCE duration (as defined on page "Definitions") 
- Valid for existing Developer License – Floating per seat (as defined in "EB Assist License Terms") 
- Includes 10-hour Elektrobit product-related support by phone or support portal. Quota valid for 12 months</t>
  </si>
  <si>
    <t>450</t>
  </si>
  <si>
    <t>Node-Locked License, Run-time (EB Assist ADTF 3)</t>
  </si>
  <si>
    <t>- Runtime License – Node Locked (as defined in "EB Assist License Terms")
- Including MAINTENANCE (as defined on page "Definitions")</t>
  </si>
  <si>
    <t>451</t>
  </si>
  <si>
    <t>Node-Locked License Maintenance, Run-time (EB Assist ADTF 3)</t>
  </si>
  <si>
    <t>- Extension of MAINTENANCE duration (as defined on page "Definitions")
- Valid for existing Runtime License – Node Locked (as defined in "EB Assist License Terms")</t>
  </si>
  <si>
    <t>452</t>
  </si>
  <si>
    <t>Floating License, Run-time (EB Assist ADTF 3)</t>
  </si>
  <si>
    <t>- Runtime License – Floating per seat (as defined in "EB Assist License Terms")
- Including MAINTENANCE (as defined on page "Definitions")</t>
  </si>
  <si>
    <t>453</t>
  </si>
  <si>
    <t>Floating License Maintenance, Run-time (EB Assist ADTF 3)</t>
  </si>
  <si>
    <t>- Extension of MAINTENANCE duration (as defined on page "Definitions")
- Valid for existing Runtime License – Floating per seat (as defined in "EB Assist License Terms")</t>
  </si>
  <si>
    <t>454</t>
  </si>
  <si>
    <t>Node Locked License Maintenance Extension, Developer (EB Assist ADTF Toolboxes)</t>
  </si>
  <si>
    <t>-Per seat
-Includes free UPDATES to new product versions within the same primary version number for 12 months.
-Applies to ADTF 2 - Calibration Toolbox or ADTF 2 – ML/SL Toolbox</t>
  </si>
  <si>
    <t>455</t>
  </si>
  <si>
    <t>Floating License Maintenance Extension, Developer (EB Assist ADTF Toolboxes)</t>
  </si>
  <si>
    <t>-Per seat
-Includes free UPDATES to new product versions within the same primary version number for 12 months
-Applies to ADTF 2 - Calibration Toolbox or ADTF 2 – ML/SL Toolbox</t>
  </si>
  <si>
    <t>456</t>
  </si>
  <si>
    <t>Floating License Maintenance Extension, Run-time (EB Assist ADTF Toolboxes)</t>
  </si>
  <si>
    <t>457</t>
  </si>
  <si>
    <t>Node Locked License Migration, Development (EB Assist ADTF)</t>
  </si>
  <si>
    <t>- Migration perpetual DEVELOPMENT LICENSE ADTF-2 to ADTF-3 per seat
- Necessary prerequisite is a maintenance contract for ADTF-2 not ending before 1st of January 2019
- Includes free UPDATES to new product versions for one year starting with the end date of maintenance contract for ADTF-2
- Includes 10h Support for the first year
- Includes all standard toolboxes</t>
  </si>
  <si>
    <t>458</t>
  </si>
  <si>
    <t>Floating License Migration, Development (EB Assist ADTF)</t>
  </si>
  <si>
    <t>- Migration perpetual concurrent DEVELOPMENT LICENSE ADTF-2 to ADTF-3 per seat
- Necessary prerequisite is a maintenance contract for ADTF-2 not ending before 1st of January 2019
- Includes free UPDATES to new product versions for one year starting with the end date of maintenance contract for ADTF-2
- Includes 10h Support for the first year
- Includes all standard toolboxes</t>
  </si>
  <si>
    <t>459</t>
  </si>
  <si>
    <t>Training</t>
  </si>
  <si>
    <t>- Information about Elektrobit training courses can be found on our website https://www.elektrobit.com/trainings/ 
- General training terms apply as defined in Elektrobit T&amp;C for Training (Version 1.2 / July 2023)</t>
  </si>
  <si>
    <t>460</t>
  </si>
  <si>
    <t>Royalty Price per unit</t>
  </si>
  <si>
    <t>461</t>
  </si>
  <si>
    <t>Node Locked License, Development (EB Assist Test Lab)</t>
  </si>
  <si>
    <t>462</t>
  </si>
  <si>
    <t>Floating License, Development (EB Assist Test Lab)</t>
  </si>
  <si>
    <t>463</t>
  </si>
  <si>
    <t>Cloud License (EB Assist Test Lab)</t>
  </si>
  <si>
    <t>464</t>
  </si>
  <si>
    <t>Node Locked License, Development (EB Assist ADTF 3 Toolbox)</t>
  </si>
  <si>
    <t>465</t>
  </si>
  <si>
    <t>Floating License, Development (EB Assist ADTF 3 Toolbox)</t>
  </si>
  <si>
    <t>466</t>
  </si>
  <si>
    <t>EB TOOLING DEVELOPMENT LICENSE STUDIO - 1 SEAT</t>
  </si>
  <si>
    <t>DEVELOPMENT LICENSE including:
- EB GUIDE Version: 6.x
- EB GUIDE Studio Speech Extension incl. Language Package
- Number of seats: 1 seat
- Limitation in time: 12 months
- Support and Service: Includes update right 
- Source Code Disclosure: not available
Comment: Please delete "EB GUIDE Studio Speech Extension incl. Language Package" for versions of EB GUIDE 6 from 6.9 (i.e. Speech Extension is only included for 6.0 - 6.8)</t>
  </si>
  <si>
    <t>467</t>
  </si>
  <si>
    <t>Consulting</t>
  </si>
  <si>
    <t>468</t>
  </si>
  <si>
    <t>Qualification Package</t>
  </si>
  <si>
    <t>Product Update / Compiler Version Update</t>
  </si>
  <si>
    <t>469</t>
  </si>
  <si>
    <t>Project License (EB cadian) per 1000 units</t>
  </si>
  <si>
    <t>470</t>
  </si>
  <si>
    <t>Infineon Project License</t>
  </si>
  <si>
    <t>Project License (including 1 year Maintenance)
- for one project e.g. front body controller at one OEM</t>
  </si>
  <si>
    <t>471</t>
  </si>
  <si>
    <t>Infineon Development License (additional 1,5 years)</t>
  </si>
  <si>
    <t>Development license (additional 1,5 years including Maintenance)
- for additional 1,5 years for one project e.g. front body controller at one OEM (this amount is credited when upgrading to a Project License)
- can only be ordered to extend an existing Development License</t>
  </si>
  <si>
    <t>472</t>
  </si>
  <si>
    <t>Support package (EB Assist)</t>
  </si>
  <si>
    <t>473</t>
  </si>
  <si>
    <t>Porting Package - With Safety Approval</t>
  </si>
  <si>
    <t>Porting package to support a new derivative of an existing MCU family and/or a new feature set and/or a new compiler version/options. This package includes a safety qualification with safety approval from EB.</t>
  </si>
  <si>
    <t>474</t>
  </si>
  <si>
    <t>Porting Package - Without Safety Approval</t>
  </si>
  <si>
    <t>Porting package to support a new derivative of an existing MCU family and/or a new feature set and/or a new compiler version/options. This package does not include a safety qualification and therefore, without safety approval from EB.</t>
  </si>
  <si>
    <t>475</t>
  </si>
  <si>
    <t>Pay-per-Use</t>
  </si>
  <si>
    <t>Pay-per-Use License. Actual cost is calculated monthly, based on the real product usage.</t>
  </si>
  <si>
    <t>476</t>
  </si>
  <si>
    <t>Subscription</t>
  </si>
  <si>
    <t>477</t>
  </si>
  <si>
    <t>Support &amp; Maintenance package</t>
  </si>
  <si>
    <t>- Includes software upgrades, updates and patch releases for one year
- Includes 10 hours Q&amp;A support for 12 months
- Support via email and phone</t>
  </si>
  <si>
    <t>478</t>
  </si>
  <si>
    <t>Infineon Support and Maintenance for Development License&amp;nbsp;(second half - first year)</t>
  </si>
  <si>
    <t>Support includes delivery of Updates of the INFINEON Software on availability. Support is limited to 10 hours per year. Support fees will be invoiced in advance for a period of six months per customer.</t>
  </si>
  <si>
    <t>479</t>
  </si>
  <si>
    <t>Infineon Support and Maintenance for Development and Reproduction License&amp;nbsp;(second half - first year)</t>
  </si>
  <si>
    <t>480</t>
  </si>
  <si>
    <t>Infineon Support and Maintenance for Development and Reproduction License (6 months)</t>
  </si>
  <si>
    <t>Support includes delivery of Updates of the INFINEON Software on availability. Support is limited to 7.5 hours (15 hours per year). Support fees will be invoiced in advance for a period of six months per customer.</t>
  </si>
  <si>
    <t>481</t>
  </si>
  <si>
    <t>Infineon Support and Maintenance for Development License</t>
  </si>
  <si>
    <t>482</t>
  </si>
  <si>
    <t>Single-User License - Subscription</t>
  </si>
  <si>
    <t>- Single-User License (as defined in Elektrobit T&amp;C)
- Including MAINTENANCE (as defined on page "Definitions")
- Annual subscription will be automatically renewed if not terminated three months prior to expiration.</t>
  </si>
  <si>
    <t>483</t>
  </si>
  <si>
    <t>Floating License - Subscription</t>
  </si>
  <si>
    <t>- Floating License per seat (as defined in Elektrobit T&amp;C)
- Including MAINTENANCE (as defined on page "Definitions")
- Annual subscription will be automatically renewed if not terminated three months prior to expiration.</t>
  </si>
  <si>
    <t>484</t>
  </si>
  <si>
    <t>Subscription + Royalty Price per unit</t>
  </si>
  <si>
    <t>It is a combination of an active development subscription plus royalties per unit.</t>
  </si>
  <si>
    <t>485</t>
  </si>
  <si>
    <t>Royalty price per unit (&amp;lt; 10.000 units per year)</t>
  </si>
  <si>
    <t>486</t>
  </si>
  <si>
    <t>Royalty price per unit (units 10,001 to 20,000 per year)</t>
  </si>
  <si>
    <t>487</t>
  </si>
  <si>
    <t>Royalty price per unit (units 20,001 to 40,000 per year)</t>
  </si>
  <si>
    <t>488</t>
  </si>
  <si>
    <t>Royalty price per unit (units 40,001 to 80,000 per year)</t>
  </si>
  <si>
    <t>489</t>
  </si>
  <si>
    <t>Royalty price per unit (units 80,001 to 160,000 per year)</t>
  </si>
  <si>
    <t>490</t>
  </si>
  <si>
    <t>Royalty price per unit (units 160,001 to 320,000 per year)</t>
  </si>
  <si>
    <t>491</t>
  </si>
  <si>
    <t>Royalty price per unit (units above 320,001 per year)</t>
  </si>
  <si>
    <t>492</t>
  </si>
  <si>
    <t>Royalty price per unit (&amp;lt; 200 units per year)</t>
  </si>
  <si>
    <t>493</t>
  </si>
  <si>
    <t>Royalty price per unit (units 201 to 400 per year)</t>
  </si>
  <si>
    <t>494</t>
  </si>
  <si>
    <t>Royalty price per unit (units 401 to 800 per year)</t>
  </si>
  <si>
    <t>495</t>
  </si>
  <si>
    <t>Royalty price per unit (units 801 to 1,600 per year)</t>
  </si>
  <si>
    <t>496</t>
  </si>
  <si>
    <t>Royalty price per unit (units 1,601 to 3,200 per year)</t>
  </si>
  <si>
    <t>497</t>
  </si>
  <si>
    <t>Royalty price per unit (units 3,201 to 10,000 per year)</t>
  </si>
  <si>
    <t>498</t>
  </si>
  <si>
    <t>Royalty price per unit (units above 10,001 year)</t>
  </si>
  <si>
    <t>499</t>
  </si>
  <si>
    <t>Driver - Qualification Package - Compiler Options</t>
  </si>
  <si>
    <t>500</t>
  </si>
  <si>
    <t>Driver - Porting Package – Compiler Version Update</t>
  </si>
  <si>
    <t>501</t>
  </si>
  <si>
    <t>Driver - Porting Package - Compiler</t>
  </si>
  <si>
    <t>502</t>
  </si>
  <si>
    <t>Driver - Porting Package - MCU Derivative</t>
  </si>
  <si>
    <t>503</t>
  </si>
  <si>
    <t>Driver - Porting Package - MCU Family</t>
  </si>
  <si>
    <t>504</t>
  </si>
  <si>
    <t>Third-party License</t>
  </si>
  <si>
    <t>- THIRD-PARTY COMPONENT (as defined in Elektrobit T&amp;C)
- Third-party license according to product description &amp; T&amp;C of third-party company</t>
  </si>
  <si>
    <t>505</t>
  </si>
  <si>
    <t>Support Package</t>
  </si>
  <si>
    <t>0</t>
  </si>
  <si>
    <t>506</t>
  </si>
  <si>
    <t>Development Maintenance for Company License for OEM</t>
  </si>
  <si>
    <t>- Extension of MAINTENANCE duration (as defined on page "Definitions")
- Valid for existing Company License for OEM
Please note:
- Updates and bugfixes are provided for the latest software version only.
- Tested only with the latest software version of related products (e.g., ELEKTROBIT TOOLING).</t>
  </si>
  <si>
    <t>507</t>
  </si>
  <si>
    <t>BSP - standard µC</t>
  </si>
  <si>
    <t>Board support package for a standard µC platform according to C focus list</t>
  </si>
  <si>
    <t>508</t>
  </si>
  <si>
    <t>BSP - non-standard µC</t>
  </si>
  <si>
    <t>Board support package for a non-standard µC platform according to µ focus list</t>
  </si>
  <si>
    <t>509</t>
  </si>
  <si>
    <t>Single-User License (EB Assist)</t>
  </si>
  <si>
    <t>- Single-User License (as defined in Elektrobit T&amp;C)</t>
  </si>
  <si>
    <t>510</t>
  </si>
  <si>
    <t>Dongled License (EB Assist)</t>
  </si>
  <si>
    <t>- Dongled License (as defined in Elektrobit T&amp;C)</t>
  </si>
  <si>
    <t>511</t>
  </si>
  <si>
    <t>Floating License (EB Assist)</t>
  </si>
  <si>
    <t>- Floating License per seat (as defined in Elektrobit T&amp;C)</t>
  </si>
  <si>
    <t>512</t>
  </si>
  <si>
    <t>Information</t>
  </si>
  <si>
    <t>Specific information can be found in section "Products and services".</t>
  </si>
  <si>
    <t>513</t>
  </si>
  <si>
    <t>Infineon Evaluation License (3 months)</t>
  </si>
  <si>
    <t>514</t>
  </si>
  <si>
    <t>Development License - Subscription</t>
  </si>
  <si>
    <t>- Annual subscription will be automatically renewed if not terminated three months prior to expiration. 
- Including MAINTENANCE (as defined on page "Definitions") 
Additionally, the restrictions according to the LICENSE PROFILE defined on page "Scope of license" apply.</t>
  </si>
  <si>
    <t>515</t>
  </si>
  <si>
    <t>Production License - per Unit</t>
  </si>
  <si>
    <t>- Invoicing based on produced unit
- Price level based on annually produced volume
Additionally, the restrictions according to the LICENSE PROFILE defined on page "Scope of license" apply.</t>
  </si>
  <si>
    <t>516</t>
  </si>
  <si>
    <t>Production License - One-Time-Payment</t>
  </si>
  <si>
    <t>- REPRODUCTION AND DISTRIBUTION LICENSE according to the defined TARGET ENVIRONMENT (as defined in Elektrobit T&amp;C)
- One-Time Payment for the defined production scenario as defined in the quote
- LICENSEE acknowledges and agrees that neither the LICENSED PRODUCT nor the RUNTIME SOFTWARE or GENERATED SOFTWARE may be used in any series production unless explicitly released for series production by EB.</t>
  </si>
  <si>
    <t>517</t>
  </si>
  <si>
    <t>Production License - Subscription per Unit</t>
  </si>
  <si>
    <t>- Invoicing based on cumulated produced units
- Annual subscription will be automatically renewed if not terminated three months prior to expiration.
- Including MAINTENANCE (as defined on page "Definitions")
Additionally, the restrictions according to the LICENSE PROFILE defined on page "Scope of license" apply.</t>
  </si>
  <si>
    <t>518</t>
  </si>
  <si>
    <t>Maintenance - Subscription per Unit</t>
  </si>
  <si>
    <t>- Installation of MAINTENANCE period (as defined on page "Definitions")
- Provides the security vulnerability and bug fixes and the right to deploy it to production version software.
- Valid for existing Production License – Subscription per Unit
- Invoicing based on cumulated produced units
- Annual subscription will be automatically renewed if not terminated three months prior to expiration.
Additionally, the restrictions according to the LICENSE PROFILE defined on page "Scope of license" apply.</t>
  </si>
  <si>
    <t>519</t>
  </si>
  <si>
    <t>Maintenance - Subscription</t>
  </si>
  <si>
    <t>- Installation of MAINTENANCE period (as defined on page "Definitions") 
- Provides the security vulnerability and bug fixes and the right to deploy it to production version software 
- Valid for existing Production License – Royalty 
- Annual subscription will be automatically renewed if not terminated three months prior to expiration. 
Additionally, the restrictions according to the LICENSE PROFILE defined on page "Scope of license" apply.</t>
  </si>
  <si>
    <t>520</t>
  </si>
  <si>
    <t>HW Repair</t>
  </si>
  <si>
    <t>- ELEKTROBIT HARDWARE-related repair 
- Scope defined in section "Products and services".</t>
  </si>
  <si>
    <t>521</t>
  </si>
  <si>
    <t>Cybersecurity Maintenance - Subscription</t>
  </si>
  <si>
    <t>- Installation of MAINTENANCE period (as defined on page "Definitions")
- Provides the cybersecurity maintenance as defined in the Maintenance and Support Annex.  
- Possibility to get security vulnerability fixes for one specific RFM version and the right to deploy it to production version software.
- Annual subscription will be automatically renewed if not terminated three months prior to expiration.
Additionally, the restrictions according to the LICENSE PROFILE defined on page "Scope of license" apply.
The CyberSecurity MAINTENANCE is valid for one specific RFM version only.</t>
  </si>
  <si>
    <t>522</t>
  </si>
  <si>
    <t>Maintenance</t>
  </si>
  <si>
    <t>- Installation of MAINTENANCE period (as defined on page "Definitions") 
- Provides the security vulnerability fixes, bug fixes and feature. updates and the right to deploy them to production version software 
- Valid for existing Production License – Royalty 
- Annual subscription will be automatically renewed if not terminated three months prior to expiration. 
Additionally, the restrictions according to the LICENSE PROFILE defined on page "Scope of license" apply.</t>
  </si>
  <si>
    <t>523</t>
  </si>
  <si>
    <t>Hardware Repair</t>
  </si>
  <si>
    <t>- ELEKTROBIT HARDWARE-related repair
- Scope defined in section "Products and Services"</t>
  </si>
  <si>
    <t>524</t>
  </si>
  <si>
    <t>Node Locked License - Subscription</t>
  </si>
  <si>
    <t>- Node Locked License (as defined in Elektrobit T&amp;C) 
- Annual subscription will be automatically renewed if not terminated three months prior to expiration.</t>
  </si>
  <si>
    <t>525</t>
  </si>
  <si>
    <t>Support package (Elektrobit product)</t>
  </si>
  <si>
    <t>- Elektrobit product-related support by phone or support portal. Quota valid for 12 months</t>
  </si>
  <si>
    <t>526</t>
  </si>
  <si>
    <t>License Services (EB Assist)</t>
  </si>
  <si>
    <t>- EB Assist license-related service
- Scope defined in section "Products and services".</t>
  </si>
  <si>
    <t>527</t>
  </si>
  <si>
    <t>Development - Subscription</t>
  </si>
  <si>
    <t>- Annual subscription will be automatically renewed if not terminated three months prior to expiration. 
- Including MAINTENANCE (as defined on page "Definitions").</t>
  </si>
  <si>
    <t>528</t>
  </si>
  <si>
    <t>One time fee</t>
  </si>
  <si>
    <t>529</t>
  </si>
  <si>
    <t>Maintenance fee - per Unit</t>
  </si>
  <si>
    <t>- Installation of MAINTENANCE period (as defined on page "Definitions")
- Provides the security vulnerability and bug fixes and the right to deploy it to production version software
- Invoicing based on produced unit
- Price level based on annually produced volume</t>
  </si>
  <si>
    <t>530</t>
  </si>
  <si>
    <t>Maintenance fee - Subscription</t>
  </si>
  <si>
    <t>- Installation of MAINTENANCE period (as defined on page "Definitions")
- Provides the security vulnerability and bug fixes and the right to deploy it to production version software
- Annual subscription will be automatically renewed if not terminated three months prior to expiration.</t>
  </si>
  <si>
    <t>531</t>
  </si>
  <si>
    <t>Time and Material</t>
  </si>
  <si>
    <t>532</t>
  </si>
  <si>
    <t>Long Term Stable Maintenance - Subscription</t>
  </si>
  <si>
    <t>- Installation of MAINTENANCE period (as defined on page "Definitions")
- Includes the cybersecurity maintenance and additional bug fix support for one specific RFM version and right to deploy them to production version software as described in the Maintenance and Support Annex.
- Annual subscription will be automatically renewed if not terminated three months prior to expiration.
Additionally, the restrictions according to the LICENSE PROFILE defined on page "Scope of license" apply. 
The Long Term Stable MAINTENANCE is valid for one specific RFM version only.</t>
  </si>
  <si>
    <t>533</t>
  </si>
  <si>
    <t>Cybersecurity Update Package</t>
  </si>
  <si>
    <t>Separately agreed software update including cybersecurity vulnerability fix for the agreed RfM version.</t>
  </si>
  <si>
    <t>534</t>
  </si>
  <si>
    <t>Support Package (China)</t>
  </si>
  <si>
    <t>535</t>
  </si>
  <si>
    <t>Support Package (Europe)</t>
  </si>
  <si>
    <t>536</t>
  </si>
  <si>
    <t>Support Package (India)</t>
  </si>
  <si>
    <t>537</t>
  </si>
  <si>
    <t>Support Package (Japan)</t>
  </si>
  <si>
    <t>538</t>
  </si>
  <si>
    <t>Support Package (South Korea)</t>
  </si>
  <si>
    <t>539</t>
  </si>
  <si>
    <t>Support Package (USA)</t>
  </si>
  <si>
    <t>Long Term Stable Maintenance for Project License</t>
  </si>
  <si>
    <t>General: Cybersecurity Monitoring is valid for predetermined versions, which is shared with all subscribers. The CSM subscription is offered for a maximum of 20 years after release of the Base Line Version. The yearly maintenance subscription will be automatically renewed if not terminated three months prior to expiration. The price depends on the corresponding License Profile.
Included: Cybersecurity Monitoring: Monitoring for defects and security vulnerabilities for CSM version, Monitoring of the market and the usage of the product, Threat analysis and risk assessment (TARA), Rating of incidents based on Common Vulnerability Scoring System (CVSS), Access to the customer portal (EB Command), Maintenance of the development, integration and test infrastructure for the selected version, Maintenance of the Elektrobit Cybersecurity Management system (certified by external entity)
Optional: Issue fixes can be ordered. Elektrobit will quote individually, Option to upgrade to LTS Maintenance, Option to upgrade the maintenance profile to cover additional customer products.
Not included: Any Maintenance delivery (Feature extensions, Issue fixes)</t>
  </si>
  <si>
    <t>Long Term Stable Maintenance for Product Line License</t>
  </si>
  <si>
    <t>General: The Long term stable (LTS) Maintenance is valid for predetermined versions (LTS versions), which is shared with all subscribers. The LTSM subscription is offered for a maximum of five years for platform-independent software following the release of the subsequent ACG Baseline version with the RFM quality level. The annual subscription will be automatically renewed if not terminated three months prior to expiration. Additionally, the restrictions according to the LICENSE PROFILE defined on page "Scope of license" apply.</t>
  </si>
  <si>
    <t>Long Term Stable Maintenance for Company License for Tier 1</t>
  </si>
  <si>
    <t>General: The Long term stable (LTS) Maintenance is valid for predetermined versions (LTS versions), which is shared with all subscribers. The LTSM subscription is offered for a maximum of five years for platform-independent software following the release of the subsequent ACG Baseline version with the RFM quality level. The annual subscription will be automatically renewed if not terminated three months prior to expiration. Additionally, the restrictions according to the LICENSE PROFILE defined on page "Scope of license" apply.
Included: Cyber Security Monitoring (Monitoring for defects and security vulnerabilities for the LTSM version). Maintenance of the development, integration and test infrastructure for the selected version. Fixes for known issues are included in the LTS version if the project is affected by the issue and requests them. The issue fixes can be shared directly with Quality Level Dev-Drop. Elektrobit provides one free LTS module update release per quarter for the LTS Version. The specific dates will be published on the roadmap. These updates includes issue fixes that meet Quality Level RFM or have
received Safety Approval, based on previously submitted requests. Right to deploy the software to production version software as described in the Maintenance and Support Annex.
Optional: Projects can order additional module update releases on request. Feature Change Requests (CRs) can be ordered additionally. The CRs need to fulfill specific criteria, so that they can be implemented in the specific RFM version.
The maintenance profile can be upgraded to extend coverage to additional projects.
Not included: Standard services such as Safety Approval Packages, SOP QP Packages, BSPs, CRs</t>
  </si>
  <si>
    <t>Long Term Stable Maintenance for OEM-restricted Company License for Tier 1</t>
  </si>
  <si>
    <t>General: The Long term stable (LTS) Maintenance is valid for predetermined versions (LTS versions), which is shared with all subscribers. The LTSM subscription is offered for a maximum of five years for platform-independent software following the release of the subsequent ACG Baseline version with the RFM quality level. The annual subscription will be automatically renewed if not terminated three months prior to expiration. Additionally, the restrictions according to the LICENSE PROFILE defined on page "Scope of license" apply.
Included: Cyber Security Monitoring (Monitoring for defects and security vulnerabilities for the LTSM version). Maintenance of the development, integration and test infrastructure for the selected version. Fixes for known issues are included in the LTS version if the project is affected by the issue and requests them. The issue fixes can be shared directly with Quality Level Dev-Drop. Elektrobit provides one free LTS module update release per quarter for the LTS Version. The specific dates will be published on the roadmap. These updates includes issue fixes that meet Quality Level RFM or have received Safety Approval, based on previously submitted requests. Right to deploy the software to production version software as described in the Maintenance and Support Annex.
Optional: Projects can order additional module update releases on request. Feature Change Requests (CRs) can be ordered additionally. The CRs need to fulfill specific criteria, so that they can be implemented in the specific RFM version.
The maintenance profile can be upgraded to extend coverage to additional projects.
Not included: Standard services such as Safety Approval Packages, SOP QP Packages, BSPs, CRs</t>
  </si>
  <si>
    <t>Long Term Stable Maintenance for ECU Cross-Platform License for OEM</t>
  </si>
  <si>
    <t>Long Term Stable Maintenance for OEM-restricted Product Line License</t>
  </si>
  <si>
    <t>Long Term Stable Maintenance for BU License for Tier 1</t>
  </si>
  <si>
    <t>Long Term Stable Maintenance for Company License for OEM</t>
  </si>
  <si>
    <t>Cybersecurity Monitoring for Project License</t>
  </si>
  <si>
    <t>Cybersecurity Monitoring for Product Line License</t>
  </si>
  <si>
    <t>Cybersecurity Monitoring for Company License for Tier 1</t>
  </si>
  <si>
    <t>Cybersecurity Monitoring for OEM-restricted Company License for Tier 1</t>
  </si>
  <si>
    <t>Cybersecurity Monitoring for ECU Cross-Platform License for OEM</t>
  </si>
  <si>
    <t>Cybersecurity Monitoring for OEM-restricted Product Line License</t>
  </si>
  <si>
    <t>Cybersecurity Monitoring for BU License for Tier 1</t>
  </si>
  <si>
    <t>Cybersecurity Monitoring for Company License for OEM</t>
  </si>
  <si>
    <t>The CUSTOMER gets the right to use the license under the following condition: 
a. The run-time software is used for developing demonstrator systems or proof of concepts of one CUSTOMER PRODUCT before the final nomination to a Vehicle OEM Brand mass produ</t>
  </si>
  <si>
    <t>Continuance fee - per Unit</t>
  </si>
  <si>
    <t>Continuance fee - Subscription</t>
  </si>
  <si>
    <t>- Installation of MAINTENANCE period (as defined on page "Definitions")
- Provides the Cybersecurity Maintenance as defined in the product description.  
- Possibility to get security vulnerability fixes for one specific RFM version and the right to deploy it to production version software.
- Annual subscription will be automatically renewed if not terminated three months prior to expiration.
Additionally, the restrictions according to the LICENSE PROFILE defined on page "Scope of license" apply.
The CyberSecurity MAINTENANCE is valid for one specific RFM version only.</t>
  </si>
  <si>
    <t>The CUSTOMER gets the right to use the license under the following condition:
a. The run-time software is used for one Vehicle OEM Brand only.
b. The run-time software is used for one CUSTOMER PRODUCT only.
c. The run-time software is used for one µC der</t>
  </si>
  <si>
    <t>Floating-User License - Subscription</t>
  </si>
  <si>
    <t>Infineon Support and Maintenance for Development License&amp;nbsp;</t>
  </si>
  <si>
    <t>(blank)</t>
  </si>
  <si>
    <t>- Installation of MAINTENANCE period (as defined on page "Definitions")
- Includes the cybersecurity maintenance and additional bug fix support for one specific RFM version and right to deploy them to production version software as described in product description.
- Annual subscription will be automatically renewed if not terminated three months prior to expiration.
Additionally, the restrictions according to the LICENSE PROFILE defined on page "Scope of license" apply. 
The Long Term Stable MAINTENANCE is valid for one specific RFM version only.</t>
  </si>
  <si>
    <t xml:space="preserve">The CUSTOMER gets the right to use the license under the following condition: 
a. The run-time software is used for one Vehicle OEM Brand only. 
b. The run-time software is used for one CUSTOMER PRODUCT only. 
c. The run-time software is used for one µC </t>
  </si>
  <si>
    <t>- Single-User Licenses (as defined in Elektrobit T&amp;C)
- Includes the right to distribute
- Including MAINTENANCE (as defined on page "Definitions")</t>
  </si>
  <si>
    <t>The CUSTOMER gets the right to use the license under the following condition: 
a. The run-time software is used for one Vehicle OEM Brand only. 
b. The run-time software is used for one Model generation only. 
c. The run-time software is used for one CUS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</si>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</sst>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
      <sz val="11"/>
      <color rgb="FF000000"/>
      <name val="Calibri"/>
      <family val="2"/>
    </font>
    <font>
      <b/>
      <sz val="14"/>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1" fillId="0" borderId="0" xfId="0" applyFont="1" applyAlignment="1">
      <alignment vertical="top"/>
    </xf>
    <xf numFmtId="0" fontId="0" fillId="0" borderId="0" xfId="0" applyAlignment="1">
      <alignment horizontal="right" vertical="top" wrapText="1"/>
    </xf>
    <xf numFmtId="0" fontId="4" fillId="0" borderId="0" xfId="0" applyFont="1" applyAlignment="1">
      <alignment horizontal="right" vertical="top" wrapText="1"/>
    </xf>
    <xf numFmtId="0" fontId="0" fillId="0" borderId="0" xfId="0" pivotButton="1" applyAlignment="1">
      <alignment wrapText="1"/>
    </xf>
    <xf numFmtId="0" fontId="0" fillId="0" borderId="0" xfId="0" applyAlignment="1">
      <alignment wrapText="1"/>
    </xf>
    <xf numFmtId="0" fontId="0" fillId="0" borderId="0" xfId="0" quotePrefix="1" applyAlignment="1">
      <alignment vertical="top" wrapText="1"/>
    </xf>
    <xf numFmtId="0" fontId="5" fillId="0" borderId="0" xfId="0" applyFont="1"/>
    <xf numFmtId="0" fontId="5" fillId="0" borderId="0" xfId="0" applyFont="1" applyAlignment="1">
      <alignment wrapText="1"/>
    </xf>
    <xf numFmtId="0" fontId="1" fillId="0" borderId="0" xfId="0" applyFont="1"/>
    <xf numFmtId="0" fontId="6" fillId="0" borderId="0" xfId="0" applyFont="1" applyAlignment="1">
      <alignment horizontal="left"/>
    </xf>
    <xf numFmtId="0" fontId="2" fillId="2" borderId="0" xfId="0" applyFont="1" applyFill="1" applyAlignment="1">
      <alignment horizontal="center" vertical="top" wrapText="1"/>
    </xf>
    <xf numFmtId="0" fontId="3" fillId="2" borderId="0" xfId="0" applyFont="1" applyFill="1" applyAlignment="1">
      <alignment horizontal="center" vertical="top" wrapText="1"/>
    </xf>
    <xf numFmtId="0" fontId="2" fillId="3" borderId="0" xfId="0" applyFont="1" applyFill="1" applyAlignment="1">
      <alignment horizontal="center" vertical="top" wrapText="1"/>
    </xf>
    <xf numFmtId="0" fontId="3" fillId="3" borderId="0" xfId="0" applyFont="1" applyFill="1" applyAlignment="1">
      <alignment horizontal="center" vertical="top" wrapText="1"/>
    </xf>
    <xf numFmtId="0" fontId="0" fillId="4" borderId="0" xfId="0" applyFill="1" applyAlignment="1">
      <alignment horizontal="center" vertical="top" wrapText="1"/>
    </xf>
  </cellXfs>
  <cellStyles count="1">
    <cellStyle name="Normal" xfId="0" builtinId="0"/>
  </cellStyles>
  <dxfs count="100">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2</xdr:col>
      <xdr:colOff>1458663</xdr:colOff>
      <xdr:row>4</xdr:row>
      <xdr:rowOff>123825</xdr:rowOff>
    </xdr:to>
    <xdr:pic>
      <xdr:nvPicPr>
        <xdr:cNvPr id="3" name="Picture 2">
          <a:extLst>
            <a:ext uri="{FF2B5EF4-FFF2-40B4-BE49-F238E27FC236}">
              <a16:creationId xmlns:a16="http://schemas.microsoft.com/office/drawing/2014/main" id="{27225B94-14AF-545A-81BD-7526E1BC24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0"/>
          <a:ext cx="4808742" cy="990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lektrobit.sharepoint.com/sites/msteams_c2eda0/Shared%20Documents/Product%20Management/Product%20Operations/PriceEdge/LicenseTypeCriteria_Lookup.xlsx" TargetMode="External"/><Relationship Id="rId1" Type="http://schemas.openxmlformats.org/officeDocument/2006/relationships/externalLinkPath" Target="LicenseTypeCriteria_Looku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3td-0k880urpcK1-MhS6jM_D73yoB1FsEU6eM41VtGO93aTm5iQTofGKrsijgrg" itemId="01LKKRLZDJQSXDOYWZQVDYRYLKBMNILIHK">
      <xxl21:absoluteUrl r:id="rId2"/>
    </xxl21:alternateUrls>
    <sheetNames>
      <sheetName val="LicenseDuration_ID"/>
      <sheetName val="MaintenanceDuration_ID"/>
      <sheetName val="ExpectedDeliveryTime_ID"/>
      <sheetName val="PaymentModel_ID"/>
      <sheetName val="ExpectedInvoiceDate_ID"/>
      <sheetName val="GrantOfRights_ID"/>
      <sheetName val="Profile"/>
      <sheetName val="MandatoryOptional_ID"/>
      <sheetName val="License_Method_ID"/>
      <sheetName val="Operational_Profit_Type_ID"/>
      <sheetName val="UpdateRightID"/>
    </sheetNames>
    <sheetDataSet>
      <sheetData sheetId="0">
        <row r="2">
          <cell r="A2">
            <v>1</v>
          </cell>
          <cell r="B2" t="str">
            <v>n/a</v>
          </cell>
        </row>
        <row r="3">
          <cell r="A3">
            <v>2</v>
          </cell>
          <cell r="B3" t="str">
            <v>3 months</v>
          </cell>
        </row>
        <row r="4">
          <cell r="A4">
            <v>3</v>
          </cell>
          <cell r="B4" t="str">
            <v>6 months</v>
          </cell>
        </row>
        <row r="5">
          <cell r="A5">
            <v>4</v>
          </cell>
          <cell r="B5" t="str">
            <v>12 months</v>
          </cell>
        </row>
        <row r="6">
          <cell r="A6">
            <v>5</v>
          </cell>
          <cell r="B6" t="str">
            <v>12 months / yearly automatically renewed</v>
          </cell>
        </row>
        <row r="7">
          <cell r="A7">
            <v>6</v>
          </cell>
          <cell r="B7" t="str">
            <v>perpetual</v>
          </cell>
        </row>
        <row r="8">
          <cell r="A8">
            <v>7</v>
          </cell>
          <cell r="B8" t="str">
            <v>18 months</v>
          </cell>
        </row>
      </sheetData>
      <sheetData sheetId="1">
        <row r="2">
          <cell r="A2">
            <v>1</v>
          </cell>
          <cell r="B2" t="str">
            <v>n/a</v>
          </cell>
        </row>
        <row r="3">
          <cell r="A3">
            <v>2</v>
          </cell>
          <cell r="B3" t="str">
            <v>3 months</v>
          </cell>
        </row>
        <row r="4">
          <cell r="A4">
            <v>3</v>
          </cell>
          <cell r="B4" t="str">
            <v>12 months</v>
          </cell>
        </row>
        <row r="5">
          <cell r="A5">
            <v>4</v>
          </cell>
          <cell r="B5" t="str">
            <v>12 months / yearly automatically renewed</v>
          </cell>
        </row>
      </sheetData>
      <sheetData sheetId="2">
        <row r="2">
          <cell r="A2">
            <v>1</v>
          </cell>
          <cell r="B2" t="str">
            <v>n/a</v>
          </cell>
        </row>
        <row r="3">
          <cell r="A3">
            <v>2</v>
          </cell>
          <cell r="B3" t="str">
            <v>FINALIZED PURCHASE PROCESS + 2 weeks</v>
          </cell>
        </row>
        <row r="4">
          <cell r="A4">
            <v>3</v>
          </cell>
          <cell r="B4" t="str">
            <v>FINALIZED PURCHASE PROCESS + 3 weeks</v>
          </cell>
        </row>
        <row r="5">
          <cell r="A5">
            <v>6</v>
          </cell>
          <cell r="B5" t="str">
            <v>FINALIZED PURCHASE PROCESS + 6 weeks</v>
          </cell>
        </row>
        <row r="6">
          <cell r="A6">
            <v>8</v>
          </cell>
          <cell r="B6" t="str">
            <v>FINALIZED PURCHASE PROCESS + 8 weeks</v>
          </cell>
        </row>
        <row r="7">
          <cell r="A7">
            <v>16</v>
          </cell>
          <cell r="B7" t="str">
            <v>FINALIZED PURCHASE PROCESS + 16 weeks</v>
          </cell>
        </row>
        <row r="8">
          <cell r="A8">
            <v>17</v>
          </cell>
          <cell r="B8" t="str">
            <v>Based on hardware delivery</v>
          </cell>
        </row>
        <row r="9">
          <cell r="A9">
            <v>18</v>
          </cell>
          <cell r="B9" t="str">
            <v>In mutual alignment with the project</v>
          </cell>
        </row>
        <row r="10">
          <cell r="A10">
            <v>19</v>
          </cell>
          <cell r="B10" t="str">
            <v>Individual</v>
          </cell>
        </row>
        <row r="11">
          <cell r="A11">
            <v>20</v>
          </cell>
          <cell r="B11" t="str">
            <v>FINALIZED PURCHASE PROCESS + xx weeks</v>
          </cell>
        </row>
        <row r="12">
          <cell r="A12">
            <v>21</v>
          </cell>
          <cell r="B12" t="str">
            <v>to be defined</v>
          </cell>
        </row>
      </sheetData>
      <sheetData sheetId="3">
        <row r="2">
          <cell r="A2">
            <v>1</v>
          </cell>
          <cell r="B2" t="str">
            <v>n/a</v>
          </cell>
        </row>
        <row r="3">
          <cell r="A3">
            <v>2</v>
          </cell>
          <cell r="B3" t="str">
            <v>One-time payment</v>
          </cell>
        </row>
        <row r="4">
          <cell r="A4">
            <v>3</v>
          </cell>
          <cell r="B4" t="str">
            <v>Annual payment</v>
          </cell>
        </row>
        <row r="5">
          <cell r="A5">
            <v>4</v>
          </cell>
          <cell r="B5" t="str">
            <v>Annual subscription</v>
          </cell>
        </row>
        <row r="6">
          <cell r="A6">
            <v>5</v>
          </cell>
          <cell r="B6" t="str">
            <v>Monthly based on effort</v>
          </cell>
        </row>
        <row r="7">
          <cell r="A7">
            <v>6</v>
          </cell>
          <cell r="B7" t="str">
            <v>Per unit</v>
          </cell>
        </row>
      </sheetData>
      <sheetData sheetId="4">
        <row r="2">
          <cell r="A2">
            <v>1</v>
          </cell>
          <cell r="B2" t="str">
            <v>n/a</v>
          </cell>
        </row>
        <row r="3">
          <cell r="A3">
            <v>2</v>
          </cell>
          <cell r="B3" t="str">
            <v>Anually at the beginning of the extended period</v>
          </cell>
        </row>
        <row r="4">
          <cell r="A4">
            <v>3</v>
          </cell>
          <cell r="B4" t="str">
            <v>First payment due after FINAL DELIVERY / Recurring payment based on LICENSE PERIOD</v>
          </cell>
        </row>
        <row r="5">
          <cell r="A5">
            <v>4</v>
          </cell>
          <cell r="B5" t="str">
            <v>Monthly based on effort</v>
          </cell>
        </row>
        <row r="6">
          <cell r="A6">
            <v>5</v>
          </cell>
          <cell r="B6" t="str">
            <v>Monthly based on units</v>
          </cell>
        </row>
        <row r="7">
          <cell r="A7">
            <v>6</v>
          </cell>
          <cell r="B7" t="str">
            <v>Quarterly based on units</v>
          </cell>
        </row>
        <row r="8">
          <cell r="A8">
            <v>7</v>
          </cell>
          <cell r="B8" t="str">
            <v>With FINAL DELIVERY</v>
          </cell>
        </row>
        <row r="9">
          <cell r="A9">
            <v>8</v>
          </cell>
          <cell r="B9" t="str">
            <v>With FINALIZED PURCHASE PROCESS</v>
          </cell>
        </row>
        <row r="10">
          <cell r="A10">
            <v>9</v>
          </cell>
          <cell r="B10" t="str">
            <v>Yearly based on units</v>
          </cell>
        </row>
        <row r="11">
          <cell r="A11">
            <v>10</v>
          </cell>
          <cell r="B11" t="str">
            <v>Individual</v>
          </cell>
        </row>
        <row r="12">
          <cell r="A12">
            <v>11</v>
          </cell>
          <cell r="B12" t="str">
            <v>to be defined</v>
          </cell>
        </row>
      </sheetData>
      <sheetData sheetId="5">
        <row r="2">
          <cell r="A2">
            <v>1</v>
          </cell>
          <cell r="B2" t="str">
            <v>n/a</v>
          </cell>
        </row>
        <row r="3">
          <cell r="A3">
            <v>2</v>
          </cell>
          <cell r="B3" t="str">
            <v>Elektrobit Tooling Licence</v>
          </cell>
        </row>
        <row r="4">
          <cell r="A4">
            <v>3</v>
          </cell>
          <cell r="B4" t="str">
            <v>Evaluation and Demonstration License</v>
          </cell>
        </row>
        <row r="5">
          <cell r="A5">
            <v>4</v>
          </cell>
          <cell r="B5" t="str">
            <v>Development License</v>
          </cell>
        </row>
        <row r="6">
          <cell r="A6">
            <v>5</v>
          </cell>
          <cell r="B6" t="str">
            <v>Reproduction and Distribution License</v>
          </cell>
        </row>
        <row r="7">
          <cell r="A7">
            <v>6</v>
          </cell>
          <cell r="B7" t="str">
            <v>Software integrated in Hardware</v>
          </cell>
        </row>
      </sheetData>
      <sheetData sheetId="6">
        <row r="2">
          <cell r="A2">
            <v>0</v>
          </cell>
          <cell r="B2" t="str">
            <v>Product related service without profile</v>
          </cell>
        </row>
        <row r="3">
          <cell r="A3">
            <v>1</v>
          </cell>
          <cell r="B3" t="str">
            <v>License</v>
          </cell>
        </row>
        <row r="4">
          <cell r="A4">
            <v>2</v>
          </cell>
          <cell r="B4" t="str">
            <v>Integration Package</v>
          </cell>
        </row>
        <row r="5">
          <cell r="A5">
            <v>3</v>
          </cell>
          <cell r="B5" t="str">
            <v>Qualification Package</v>
          </cell>
        </row>
        <row r="6">
          <cell r="A6">
            <v>4</v>
          </cell>
          <cell r="B6" t="str">
            <v>Porting</v>
          </cell>
        </row>
        <row r="7">
          <cell r="A7">
            <v>5</v>
          </cell>
          <cell r="B7" t="str">
            <v>Training</v>
          </cell>
        </row>
        <row r="8">
          <cell r="A8">
            <v>6</v>
          </cell>
          <cell r="B8" t="str">
            <v>Hardware</v>
          </cell>
        </row>
      </sheetData>
      <sheetData sheetId="7"/>
      <sheetData sheetId="8">
        <row r="2">
          <cell r="A2">
            <v>0</v>
          </cell>
          <cell r="B2" t="str">
            <v>no technical license protection</v>
          </cell>
        </row>
        <row r="3">
          <cell r="A3">
            <v>1</v>
          </cell>
          <cell r="B3" t="str">
            <v>FlexNet Publisher Application Activation Code</v>
          </cell>
        </row>
        <row r="4">
          <cell r="A4">
            <v>2</v>
          </cell>
          <cell r="B4" t="str">
            <v>FlexNet Publisher Server Activation Code</v>
          </cell>
        </row>
        <row r="5">
          <cell r="A5">
            <v>3</v>
          </cell>
          <cell r="B5" t="str">
            <v>FlexNet Publisher Dongle License File</v>
          </cell>
        </row>
        <row r="6">
          <cell r="A6">
            <v>4</v>
          </cell>
          <cell r="B6" t="str">
            <v>EB Hardware License File</v>
          </cell>
        </row>
        <row r="7">
          <cell r="A7">
            <v>5</v>
          </cell>
          <cell r="B7" t="str">
            <v>EB tresos WibuKey Node Locked License File</v>
          </cell>
        </row>
        <row r="8">
          <cell r="A8">
            <v>6</v>
          </cell>
          <cell r="B8" t="str">
            <v>EB tresos Composite Floating License File Set</v>
          </cell>
        </row>
        <row r="9">
          <cell r="A9">
            <v>7</v>
          </cell>
          <cell r="B9" t="str">
            <v>ADTF Node-Locked License File</v>
          </cell>
        </row>
        <row r="10">
          <cell r="A10">
            <v>8</v>
          </cell>
          <cell r="B10" t="str">
            <v>ADTF Floating License File</v>
          </cell>
        </row>
        <row r="11">
          <cell r="A11">
            <v>9</v>
          </cell>
          <cell r="B11" t="str">
            <v>EB GUIDE Node-Locked License File</v>
          </cell>
        </row>
        <row r="12">
          <cell r="A12">
            <v>10</v>
          </cell>
          <cell r="B12" t="str">
            <v>EB GUIDE Floating License File</v>
          </cell>
        </row>
        <row r="13">
          <cell r="A13">
            <v>11</v>
          </cell>
          <cell r="B13" t="str">
            <v>EB GUIDE Dongle License File</v>
          </cell>
        </row>
      </sheetData>
      <sheetData sheetId="9">
        <row r="2">
          <cell r="A2">
            <v>1</v>
          </cell>
          <cell r="B2" t="str">
            <v>Fix rate</v>
          </cell>
        </row>
        <row r="3">
          <cell r="A3">
            <v>2</v>
          </cell>
          <cell r="B3" t="str">
            <v>Calculated</v>
          </cell>
        </row>
      </sheetData>
      <sheetData sheetId="10">
        <row r="2">
          <cell r="A2">
            <v>0</v>
          </cell>
          <cell r="B2" t="str">
            <v>none</v>
          </cell>
        </row>
        <row r="3">
          <cell r="A3">
            <v>1</v>
          </cell>
          <cell r="B3" t="str">
            <v>UpdateRightByConfiguration</v>
          </cell>
        </row>
        <row r="4">
          <cell r="A4">
            <v>2</v>
          </cell>
          <cell r="B4" t="str">
            <v>TotalAmountAsUpdateRight</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ker, Roland" refreshedDate="45365.659216203705" createdVersion="8" refreshedVersion="8" minRefreshableVersion="3" recordCount="539" xr:uid="{0A2858E1-4604-4C86-BE0A-7F48FE16A418}">
  <cacheSource type="worksheet">
    <worksheetSource ref="A8:U547" sheet="Sheet1"/>
  </cacheSource>
  <cacheFields count="21">
    <cacheField name="Qualified for pricelist &gt;= 2024" numFmtId="0">
      <sharedItems containsBlank="1" count="2">
        <s v="yes"/>
        <m/>
      </sharedItems>
    </cacheField>
    <cacheField name="Code" numFmtId="0">
      <sharedItems/>
    </cacheField>
    <cacheField name="Name" numFmtId="0">
      <sharedItems count="537">
        <s v="Dongled License"/>
        <s v="Package &quot;Basic&quot;"/>
        <s v="Dongled License (EB MAid)"/>
        <s v="BMW Modules Update"/>
        <s v="MCAL Modules Update"/>
        <s v="AutoCore Generic Update"/>
        <s v="Compiler Version Update"/>
        <s v="License Shift with EB tresos AutoCore Reference Application for BMW"/>
        <s v="EB tresos AutoCore Bootloader Updater for BMW (CAN)"/>
        <s v="Product Line License"/>
        <s v="Development Maintenance (MCAL)"/>
        <s v="Node Locked License (EB tresos Flashbuilder)"/>
        <s v="Concept License"/>
        <s v="Floating License (EB tresos Flashbuilder)"/>
        <s v="Compression (LZSS)"/>
        <s v="Partial Programming"/>
        <s v="Node Locked License Maintenance - support not included (EB tresos Flashbuilder)"/>
        <s v="Node Locked License Maintenance  - support included  (EB tresos Flashbuilder)"/>
        <s v="Floating License Maintenance - support not included (EB  tresos Flashbuilder)"/>
        <s v="Floating License Maintenance - support included (EB tresos Flashbuilder)"/>
        <s v="EB tresos AutoCore Reference Application for BMW (CAN)"/>
        <s v="Developer License for Compression Toolbox (EB Assist ADTF)"/>
        <s v="Training (EB GUIDE 5)"/>
        <s v="Object Code License"/>
        <s v="Dongled License Maintenance (EB tresos Studio)"/>
        <s v="Floating License Maintenance (EB tresos Studio)"/>
        <s v="Production Maintenance for Dongled License (EB tresos Studio)"/>
        <s v="Production Maintenance for Floating License (EB tresos Studio)"/>
        <s v="Production Maintenance (AutoCore)"/>
        <s v="Prodution Line Development License (AutoCore)"/>
        <s v="Bundle - Project License"/>
        <s v="Interoperability tests EB tresos AutoCore Generic with SLP10 COM Stack"/>
        <s v="License Shift with EB tresos AutoCore Bootloader for BMW"/>
        <s v="EB tresos AutoCore Reference Application for BMW (FlexRay)"/>
        <s v="Firmware"/>
        <s v="EB tresos AutoCore Bootloader for BMW (FlexRay)"/>
        <s v="EB tresos AutoCore Bootloader Updater for BMW (FlexRay)"/>
        <s v="Production Maintenance (MCAL)"/>
        <s v="License Shift with EB tresos AutoCore Bootloader Updater for BMW"/>
        <s v="EB tresos AutoCore Reference Application for VAG/MQB (CAN)"/>
        <s v="Dongled License (limited)"/>
        <s v="Dongled License via Elektrobit Hardware (BM)"/>
        <s v="Hardware &amp; Software"/>
        <s v="Support &amp; Maintenance"/>
        <s v="Additional Engineering Service - Rte Partitioning"/>
        <s v="Company License (EB GUIDE)"/>
        <s v="Integrating EB tresos AutoCore into EB tresos Safety Os"/>
        <s v="Configuration services for safety-related Autosar projects"/>
        <s v="Development Maintenance (Os) Project License"/>
        <s v="EB tresos AutoCore Reference Application for VAG/MLBevo (CAN)"/>
        <s v="EB tresos AutoCore Reference Application for VAG/MLBevo (FlexRay)"/>
        <s v="EB tresos AutoCore Reference Application for Daimler/ASR3.1 (FlexRay)"/>
        <s v="EB tresos AutoCore Reference Application for Daimler/ASR3.1 (CAN)"/>
        <s v="Training (EB Assist ADTF 2)"/>
        <s v="Support Package (EB GUIDE)"/>
        <s v="EB TOOL LICENSE SUBSCRIPTION"/>
        <s v="Support Package (EB tresos)"/>
        <s v="Run-time License (EB GUIDE STF)"/>
        <s v="Run-time License (EB GUIDE GTF)"/>
        <s v="EB TOOLING DEVELOPMENT LICENSE CUSTOM"/>
        <s v="Training (EB GUIDE 6)"/>
        <s v="Support Package (EB GUIDE 6)"/>
        <s v="EB TOOLING DEVELOPMENT LICENSE SPEECH"/>
        <s v="Node Locked License (EB robinos Provider ADASISv2 for EB Assist ADTF)"/>
        <s v="Node Locked License, Developer (EB Assist ADTF Toolboxes)"/>
        <s v="Node Locked License Maintenance, Development (EB Assist Toolbox)"/>
        <s v="Node Locked License Maintenance (EB robinos Provider ADASISv2 for EB Assist ADTF)"/>
        <s v="Node Locked License Maintenance (EB GUIDE)"/>
        <s v="Dongled License (BM)"/>
        <s v="Dongled License Support &amp; Maint. (BM)"/>
        <s v="Single-User License (BM)"/>
        <s v="Single-User License Support &amp; Maint. (BM)"/>
        <s v="Evaluation License (BM)"/>
        <s v="Training (EB solys)"/>
        <s v="Consulting (EB solys)"/>
        <s v="EB tresos AutoCore Reference Application for Daimler/ASR3.2 (FlexRay)"/>
        <s v="EB tresos AutoCore Reference Application for Daimler/ASR3.2 (CAN)"/>
        <s v="EB tresos AutoCore Reference Application for VAG/MQB (FlexRay)"/>
        <s v="Company License SW-Maintenance (EB GUIDE)"/>
        <s v="MQB Modules Update"/>
        <s v="MLBevo Modules Update"/>
        <s v="Qualification of EB tresos AutoCore for Daimler"/>
        <s v="EB tresos AutoCore Bootloader for VAG/MQB (CAN)"/>
        <s v="EB tresos AutoCore Bootloader for VAG/MQB (FlexRay)"/>
        <s v="EB tresos AutoCore Reference Application"/>
        <s v="Node Locked License Development (EB Assist ADTF 2 Toolbox)"/>
        <s v="Qualification of EB tresos AutoCore"/>
        <s v="Qualification of EB tresos AutoCore for BMW"/>
        <s v="Qualification of EB tresos AutoCore Reference Projects for BMW (CAN or FlexRay)"/>
        <s v="Project License (OsekCore)"/>
        <s v="Qualfication with BMW ECU Acceptance Tests"/>
        <s v="Qualification of EB tresos AutoCore for VAG/MQB"/>
        <s v="Qualification of Dcm and Dem Wrapper Modules"/>
        <s v="Qualification of KS"/>
        <s v="Qualification of new Generic Bootloader for VAG/MQB (CAN or FlexRay)"/>
        <s v="Qualification EB tresos AutoCore Bootloader for VAG/MQB (CAN or FlexRay) with updated MCAL"/>
        <s v="Qualification of EB tresos AutoCore for VAG/MLBevo with updated MCAL"/>
        <s v="Interoperability tests of EB tresos AutoCore with MLBevo COM Stack"/>
        <s v="Qualification of new Generic Bootloader for VAG/MLBevo  (CAN or FlexRay)"/>
        <s v="Qualification of EB tresos AutoCore Bootloader for VAG/MLBevo  (CAN or FlexRay) with updated MCAL"/>
        <s v="Project License Maintenance (OsekCore)"/>
        <s v="EB tresos AutoCore Bootloader for VAG/MLBevo (CAN)"/>
        <s v="EB tresos AutoCore Bootloader for VAG/MLBevo (FlexRay)"/>
        <s v="EB tresos AutoCore Bootloader for Daimler (CAN)"/>
        <s v="EB tresos AutoCore Bootloader for Daimler (FlexRay)"/>
        <s v="MCAL Modules Update (excluding MLBevo parts)"/>
        <s v="Production License (EB GUIDE)"/>
        <s v="Warranty Extension"/>
        <s v="Development Maintenance (Os) Product Line License"/>
        <s v="Production Maintenance (OS)"/>
        <s v="Safety Concept License"/>
        <s v="Floating License"/>
        <s v="Project License"/>
        <s v="Safety Project License"/>
        <s v="Safety Product-Line License"/>
        <s v="Safety Life Cycle Project Maintenance"/>
        <s v="Safety Life Cycle Product-Line Maintenance"/>
        <s v="Freescale A-Sample License"/>
        <s v="Freescale A-Sample License Support"/>
        <s v="Freescale Project License"/>
        <s v="Freescale Project License Support"/>
        <s v="Freescale Product Line License"/>
        <s v="Freescale Product Line License Support"/>
        <s v="Development Maintenance for Project License"/>
        <s v="Infineon Evaluation License (6 months)"/>
        <s v="Infineon Evaluation License (1 year)"/>
        <s v="Infineon Evaluation License Support"/>
        <s v="Infineon Development License"/>
        <s v="Infineon Support and Maintenance for Development License (inactive)"/>
        <s v="Infineon Development and Reproduction License"/>
        <s v="Infineon Support and Maintenance for Development and Reproduction License"/>
        <s v="Floating License (EB GUIDE)"/>
        <s v="Node Locked License (EB GUIDE)"/>
        <s v="Node Locked License Upgrade (EB GUIDE)"/>
        <s v="License Upgrade (Concept to Project)"/>
        <s v="Dongled License Upgrade (EB GUIDE)"/>
        <s v="Dongled License Maintenance (EB GUIDE)"/>
        <s v="Floating License Upgrade (EB GUIDE)"/>
        <s v="Floating License Maintenance (EB GUIDE)"/>
        <s v="Temporary Node Locked License (EB GUIDE)"/>
        <s v="Temporary Dongled License (EB GUIDE)"/>
        <s v="Dongled License (leased)"/>
        <s v="Floating License (leased)"/>
        <s v="IP1"/>
        <s v="IP1.up"/>
        <s v="Product Line License Maintenance (OsekCore)"/>
        <s v="QP1"/>
        <s v="QP1.up"/>
        <s v="IP2"/>
        <s v="IP2.up"/>
        <s v="QP2"/>
        <s v="QP2.up"/>
        <s v="IP3"/>
        <s v="IP3.up"/>
        <s v="QP3"/>
        <s v="QP3.up"/>
        <s v="Platform Development License Software Maint. Service"/>
        <s v="Development Maintenance for Product Line License"/>
        <s v="Development Maintenance for Company License for Tier 1"/>
        <s v="Educational License"/>
        <s v="Run-time License 10 User"/>
        <s v="Node Locked License Maintenance, Run-time (EB Assist ADTF Toolbox)"/>
        <s v="Maintenance (EB Assist ADTF)"/>
        <s v="MIT Run-time License 1 User"/>
        <s v="OEM-restricted Company License for Tier 1"/>
        <s v="Development Maintenance for OEM-restricted Company License for Tier 1"/>
        <s v="Porting Package"/>
        <s v="Dongled Evaluation License"/>
        <s v="Qualification for new Derivatives or new Compiler Release"/>
        <s v="Porting &amp; Qualification to new Derivatives or new Compiler Release"/>
        <s v="Qualification for new Compiler Toolchain"/>
        <s v="Porting &amp; Qualification to new Compiler Toolchain"/>
        <s v="Dongled License via EB Hardware - Support &amp; Maintenance (BM)"/>
        <s v="Node Locked Evaluation License (EB GUIDE)"/>
        <s v="Integration Package for Bootloader"/>
        <s v="Qualification Package for Bootloader"/>
        <s v="Node Locked License 20 User - Maintenance"/>
        <s v="Floating License Maintenance Extension, Developer (EB Assist ADTF)"/>
        <s v="Floating Evaluation License"/>
        <s v="Floating License Maintenance Extension, Run-time (EB Assist ADTF)"/>
        <s v="Node Locked License, Run-time (EB Assist ADTF Toolboxes)"/>
        <s v="Node Locked License Maintenance Extension, Run-time (EB Assist ADTF)"/>
        <s v="Hardware &amp; Development License"/>
        <s v="QP4 (without ordering CAN Stack)"/>
        <s v="Presentation License (EB GUIDE)"/>
        <s v="Development License (EB GUIDE TF)"/>
        <s v="Template"/>
        <s v="Freescale DISM Pack"/>
        <s v="Freescale License 250k units"/>
        <s v="Dongled License incl. Firmware License"/>
        <s v="Freescale Family Multi Project License"/>
        <s v="Single-User License"/>
        <s v="Single-User License Support &amp; Maintenance"/>
        <s v="Dongled License change from Studio for ACG6"/>
        <s v="Node Locked License change from Studio for ACG6"/>
        <s v="Floating License change from Studio for ACG6"/>
        <s v="Single-User License (leased)"/>
        <s v="Dongled License extension from EB tresos Studio for ACG6"/>
        <s v="Node Locked License extension from EB tresos Studio for ACG6"/>
        <s v="Floating License extension from EB tresos Studio for ACG6"/>
        <s v="Partner License"/>
        <s v="Run-time License (EB GUIDE)"/>
        <s v="ECU Cross-Platform License for OEM"/>
        <s v="Development Maintenance for ECU Cross-Platform License for OEM"/>
        <s v="Training - additional participant"/>
        <s v="Consulting Package"/>
        <s v="Node Locked License (EB GUIDE SPEECH)"/>
        <s v="Node Locked License Maintenance (EB GUIDE SPEECH)"/>
        <s v="Node Locked License Maintenance, Development (EB Assist ADTF 2 Toolbox)"/>
        <s v="Temporary Node Locked License (EB GUIDE SPEECH)"/>
        <s v="Node Locked License Upgrade (EB GUIDE SPEECH)"/>
        <s v="Server Based License"/>
        <s v="Partner Customer License"/>
        <s v="CAN Driver - Porting to new target"/>
        <s v="CAN Driver - Porting to new derivatives or new compiler releases"/>
        <s v="Delivery of requirements tracing and tests reports"/>
        <s v="Configuration according to projects´ specific requirements"/>
        <s v="LIN Driver - Porting to new target"/>
        <s v="LIN Driver - Porting to new derivatives or new compiler releases"/>
        <s v="FLASH Driver - Porting to new target"/>
        <s v="FLASH Driver - Porting to new derivatives or new compiler releases"/>
        <s v="OEM-restricted Project License"/>
        <s v="Dongled License Support &amp; Maintenance"/>
        <s v="Maintenance Dongled License (EB GUIDE)"/>
        <s v="Dongled License via EB Hardware Support &amp; Maintenance (EB MAid)"/>
        <s v="Development Maintenance for OEM-restricted Project License"/>
        <s v="Development Maintenance for OEM-restricted Product Line License"/>
        <s v="Development Maintenance for OEM-restricted Company License"/>
        <s v="Qualification Package - Compiler Options / MCU sub-derivative"/>
        <s v="Porting Package – Product Update / Compiler Version Update"/>
        <s v="Porting Package - Compiler"/>
        <s v="Porting Package - MCU Derivative"/>
        <s v="Porting Package - MCU Family"/>
        <s v="Qualification Package - Safety Approval"/>
        <s v="Company License Support &amp; Maintenance"/>
        <s v="Single-User Evaluation License"/>
        <s v="Partner Customer Evaluation License"/>
        <s v="Single-User License (limited)"/>
        <s v="Customization Package"/>
        <s v="Eth Driver - Porting to new derivatives or new compiler releases"/>
        <s v="Qualification Package - Platform"/>
        <s v="Qualification Package for Bootloader - Update"/>
        <s v="Integration Package for Bootloader - Update"/>
        <s v="QP4 (without ordering LIN Slave Stack)"/>
        <s v="QP4.up (without ordering LIN Slave Stack)"/>
        <s v="Upgrade (EB GUIDE)"/>
        <s v="EB TOOLING DEVELOPMENT LICENSE STUDIO - 10 SEATS PACKAGE"/>
        <s v="ADAPTATION OF RUNTIME SOFTWARE"/>
        <s v="Unlimited License (EB Assist ADTF)"/>
        <s v="Dongled License change from previous version"/>
        <s v="Dongled License extension of previous version"/>
        <s v="Single-User License change from previous version"/>
        <s v="Single-User License extension of previous version"/>
        <s v="Floating License change from previous version"/>
        <s v="Floating License extension of previous version"/>
        <s v="Single User License (Flashbuilder)"/>
        <s v="Dongled License (EB GUIDE)"/>
        <s v="Evaluation License"/>
        <s v="Dongled-Evaluation License"/>
        <s v="Customization Package of NM module for OEM"/>
        <s v="Integration Package for NM module in ACG"/>
        <s v="Integration Package for NM module in ACG - Update"/>
        <s v="Qualification Package for OsekCore"/>
        <s v="Qualification Package for OsekCore - Update"/>
        <s v="Customization Package of NM Wrapper module for OEM"/>
        <s v="Integration Package for OsekCore"/>
        <s v="Integration Package for OsekCore - Update"/>
        <s v="Dongled Temporary License"/>
        <s v="Floating License (limited)"/>
        <s v="BU License for Tier 1"/>
        <s v="FLASH Driver - Qualification Package - Compiler Options"/>
        <s v="FLASH Driver - Porting Package – Compiler Version Update"/>
        <s v="FLASH Driver - Porting Package - Compiler"/>
        <s v="FLASH Driver - Porting Package - MCU Derivative"/>
        <s v="FLASH Driver - Porting Package - MCU Family"/>
        <s v="CAN Driver - Qualification Package - Compiler Options"/>
        <s v="CAN Driver - Porting Package – Compiler Version Update"/>
        <s v="CAN Driver - Porting Package - Compiler"/>
        <s v="Development License (one developer seat)"/>
        <s v="CAN Driver - Porting Package - MCU Family"/>
        <s v="CAN Driver - Porting Package - MCU Derivative"/>
        <s v="LIN Driver - Qualification Package - Compiler Options"/>
        <s v="LIN Driver - Porting Package – Compiler Version Update"/>
        <s v="LIN Driver - Porting Package - Compiler"/>
        <s v="LIN Driver - Porting Package - MCU Derivative"/>
        <s v="LIN Driver - Porting Package - MCU Family"/>
        <s v="Floating License, Run-time (EB Assist ADTF)"/>
        <s v="Company License (EB GUIDE TF)"/>
        <s v="Node Locked License, Development CDR (EB Assist ADTF Toolbox)"/>
        <s v="Development License (one developer seat) Support &amp; Maintenance"/>
        <s v="Floating License, Run-time (EB Assist ADTF Toolboxes)"/>
        <s v="Floating License Maintenance, Run-time (EB Assist ADTF Toolbox)"/>
        <s v="Floating License, Developer (EB Assist ADTF Toolboxes)"/>
        <s v="Floating License Maintenance, Development (EB Assist ADTF Toolbox)"/>
        <s v="Project Development License (EB GUIDE GTF)"/>
        <s v="IP"/>
        <s v="IP.up"/>
        <s v="QP"/>
        <s v="QP.up"/>
        <s v="Startup Package"/>
        <s v="Project License (one developer seat)"/>
        <s v="Update Package"/>
        <s v="Node-Locked Evaluation License (EB robinos)"/>
        <s v="Node Locked License (EB robinos)"/>
        <s v="Node Locked License Maintenance (EB robinos)"/>
        <s v="Device Locked License (EB robinos)"/>
        <s v="Device Locked Project License (EB robinos)"/>
        <s v="Training (ACU)"/>
        <s v="Training (EB HAD Basics)"/>
        <s v="Training (EB Assist ADTF 3)"/>
        <s v="Company License, Development (EB Assist ADTF 2 Toolbox)"/>
        <s v="Project License (one developer seat) Support &amp; Maintenance"/>
        <s v="Company License, Maintenance (EB Assist ADTF 2 Toolbox)"/>
        <s v="Porting package - BL Platform"/>
        <s v="Node Locked License (EB robinos Reconstructor ADASISv3 for EB Assist ADTF)"/>
        <s v="Node Locked License Maintenance (EB robinos Reconstructor ADASISv3 for EB Assist ADTF)"/>
        <s v="Development Maintenance for BU License for Tier 1"/>
        <s v="EB TOOLING DEVELOPMENT LICENSE STUDIO - BASE PACKAGE"/>
        <s v="EB TOOLING DEVELOPMENT LICENSE STUDIO - ADDITIONAL SEAT"/>
        <s v="Node Locked License, Run-time, 3 months (EB Assist ADTF)"/>
        <s v="Node Locked License, Run-time, 6 months (EB Assist ADTF)"/>
        <s v="Node Locked License, Run-time, 12 months (EB Assist ADTF)"/>
        <s v="Project License (three developer seats, including &quot;Porting Package - compiler version&quot; or &quot;Porting Package - derivative&quot;)"/>
        <s v="Intermediate (Product Service)"/>
        <s v="Intermediate (License incl. update right)"/>
        <s v="Intermediate (Update right)"/>
        <s v="Intermediate (License w/o update right)"/>
        <s v="Intermediate (Temporary license)"/>
        <s v="Support Package (EB robinos)"/>
        <s v="Device Locked License Maintenance (EB robinos)"/>
        <s v="Node Locked License (EB robinos Reconstructor ADASISv2 for EB Assist ADTF)"/>
        <s v="Node Locked License Maintenance (EB robinos Reconstructor ADASISv2 for EB Assist ADTF)"/>
        <s v="Node Locked License (EB robinos Provider ADASISv3 for EB Assist ADTF)"/>
        <s v="Floating License Support &amp; Maintenance"/>
        <s v="Project License (three developer seats, including &quot;Porting Package - compiler version&quot; or &quot;Porting Package - derivative&quot;) Support &amp; Maintenance"/>
        <s v="Node Locked License Maintenance (EB robinos Provider ADASISv3 for EB Assist ADTF)"/>
        <s v="EB TOOLING DEVELOPMENT LICENSE STUDIO - 10 SEATS PACKAGE (JP)"/>
        <s v="EB TOOLING DEVELOPMENT LICENSE STUDIO - 1 SEAT PACKAGE (JP)"/>
        <s v="Support Package (10h) (EB GUIDE)"/>
        <s v="Support Package (20h) (EB GUIDE)"/>
        <s v="Development License (EB robinos)"/>
        <s v="Development License Maintenance (EB robinos)"/>
        <s v="Royalty price per unit (&amp;lt; 200.000 units)"/>
        <s v="Royalty price per unit  (units 200,001 to 500,000)"/>
        <s v="Royalty price per unit (units 500,001 to 1,000,000)"/>
        <s v="Product Line License (five developer seats)"/>
        <s v="Royalty price per unit  (units 1,000,001 to 2,000,000)"/>
        <s v="Royalty price per unit  (units above 2,000,001)"/>
        <s v="Node Locked Evaluation License (EB robinos Reconstructor for EB Assist ADTF)"/>
        <s v="one time license: Target Porting"/>
        <s v="Development License (EB cadian)"/>
        <s v="Service subscription"/>
        <s v="Client subscription per 1000 units"/>
        <s v="Client subscription per 1000 units (1-250k managed vehicles)"/>
        <s v="Client subscription per 1000 units (&gt;50-250k managed vehicles)"/>
        <s v="Client subscription per 1000 units (&gt;250-500k managed vehicles)"/>
        <s v="Product Line License (five developer seats) Support &amp; Maintenance"/>
        <s v="Client subscription per 1000 units (&gt;500-1M managed vehicles)"/>
        <s v="Client subscription per 1000 units (&gt;1M-3M managed vehicles)"/>
        <s v="Client subscription per 1000 units (&gt;3M managed vehicles)"/>
        <s v="Flatrate subscription (up to 500k units)"/>
        <s v="Flatrate subscription (&gt;500k up to 1M units)"/>
        <s v="Flatrate subscription (&gt;1M units)"/>
        <s v="Client subscription per 1000 units (up to 500k units)"/>
        <s v="Client subscription per 1000 units (&gt;500k up to 1M units)"/>
        <s v="Client subscription per 1000 units (&gt;1M units)"/>
        <s v="Company License (ten developer seats)"/>
        <s v="Project License (EB cadian)"/>
        <s v="Node Locked License Maintenance Extension, Run-time (EB Assist ADTF Toolboxes)"/>
        <s v="Floating License, Development (EB Assist ADTF 2)"/>
        <s v="Node Locked License, Run-time (EB Assist ADTF 2)"/>
        <s v="Floating License, Run-time (EB Assist ADTF 2)"/>
        <s v="Node Locked License, Development, 3 months (EB Assist ADTF 2)"/>
        <s v="Node Locked License, Development, 6 months (EB Assist ADTF 2)"/>
        <s v="Node Locked License, Development, 12 months (EB Assist ADTF 2)"/>
        <s v="Node Locked License, Run-time, 3 months (EB Assist ADTF 2)"/>
        <s v="Node Locked License, Run-time, 6 months (EB Assist ADTF 2)"/>
        <s v="Company License (ten developer seats) Support &amp; Maintenance"/>
        <s v="Node Locked License, Run-time, 12 months (EB Assist ADTF 2)"/>
        <s v="Node Locked License, Development (EB Assist ADTF 2 Toolbox)"/>
        <s v="Floating License, Development (EB Assist ADTF 2 Toolboxes)"/>
        <s v="Node Locked License, Run-time (EB Assist ADTF 2 Toolbox)"/>
        <s v="Floating License, Run-time (EB Assist ADTF 2 Toolboxes)"/>
        <s v="Node Locked License, Development (EB Assist ADTF 2)"/>
        <s v="Node-Locked License, Development (EB Assist ADTF 3)"/>
        <s v="Node-Locked License Maintenance, Development (EB Assist ADTF 3)"/>
        <s v="Floating License, Development (EB Assist ADTF 3)"/>
        <s v="Floating License Maintenance, Development (EB Assist ADTF 3)"/>
        <s v="Additional developer seat"/>
        <s v="Node-Locked License, Run-time (EB Assist ADTF 3)"/>
        <s v="Node-Locked License Maintenance, Run-time (EB Assist ADTF 3)"/>
        <s v="Floating License, Run-time (EB Assist ADTF 3)"/>
        <s v="Floating License Maintenance, Run-time (EB Assist ADTF 3)"/>
        <s v="Node Locked License Maintenance Extension, Developer (EB Assist ADTF Toolboxes)"/>
        <s v="Floating License Maintenance Extension, Developer (EB Assist ADTF Toolboxes)"/>
        <s v="Floating License Maintenance Extension, Run-time (EB Assist ADTF Toolboxes)"/>
        <s v="Node Locked License Migration, Development (EB Assist ADTF)"/>
        <s v="Floating License Migration, Development (EB Assist ADTF)"/>
        <s v="Training"/>
        <s v="Hardware Services"/>
        <s v="Royalty Price per unit"/>
        <s v="Node Locked License, Development (EB Assist Test Lab)"/>
        <s v="Floating License, Development (EB Assist Test Lab)"/>
        <s v="Cloud License (EB Assist Test Lab)"/>
        <s v="Node Locked License, Development (EB Assist ADTF 3 Toolbox)"/>
        <s v="Floating License, Development (EB Assist ADTF 3 Toolbox)"/>
        <s v="EB TOOLING DEVELOPMENT LICENSE STUDIO - 1 SEAT"/>
        <s v="Consulting"/>
        <s v="Qualification Package"/>
        <s v="Project License (EB cadian) per 1000 units"/>
        <s v="Company License for OEM"/>
        <s v="Infineon Project License"/>
        <s v="Infineon Development License (additional 1,5 years)"/>
        <s v="Support package (EB Assist)"/>
        <s v="Porting Package - With Safety Approval"/>
        <s v="Porting Package - Without Safety Approval"/>
        <s v="Pay-per-Use"/>
        <s v="Subscription"/>
        <s v="Support &amp; Maintenance package"/>
        <s v="Infineon Support and Maintenance for Development License&amp;nbsp;(second half - first year)"/>
        <s v="Infineon Support and Maintenance for Development and Reproduction License&amp;nbsp;(second half - first year)"/>
        <s v="OEM specific Domain License"/>
        <s v="Infineon Support and Maintenance for Development and Reproduction License&amp;nbsp;(6 months)"/>
        <s v="Infineon Support and Maintenance for Development License&amp;nbsp;"/>
        <s v="Single-User License - Subscription"/>
        <s v="Floating-User License - Subscription"/>
        <s v="Subscription + Royalty Price per unit"/>
        <s v="Royalty price per unit (&amp;lt; 10.000 units per year)"/>
        <s v="Royalty price per unit (units 10,001 to 20,000 per year)"/>
        <s v="Royalty price per unit (units 20,001 to 40,000 per year)"/>
        <s v="Royalty price per unit (units 40,001 to 80,000 per year)"/>
        <s v="Royalty price per unit (units 80,001 to 160,000 per year)"/>
        <s v="OEM-restricted Product Line License"/>
        <s v="Royalty price per unit (units 160,001 to 320,000 per year)"/>
        <s v="Royalty price per unit (units above 320,001 per year)"/>
        <s v="Royalty price per unit (&amp;lt; 200 units per year)"/>
        <s v="Royalty price per unit (units 201 to 400 per year)"/>
        <s v="Royalty price per unit (units 401 to 800 per year)"/>
        <s v="Royalty price per unit (units 801 to 1,600 per year)"/>
        <s v="Royalty price per unit (units 1,601 to 3,200 per year)"/>
        <s v="Royalty price per unit (units 3,201 to 10,000 per year)"/>
        <s v="Royalty price per unit (units above 10,001 year)"/>
        <s v="Driver - Qualification Package - Compiler Options"/>
        <s v="Prototyping Project License"/>
        <s v="Shipment"/>
        <s v="Driver - Porting Package – Compiler Version Update"/>
        <s v="Driver - Porting Package - Compiler"/>
        <s v="Driver - Porting Package - MCU Derivative"/>
        <s v="Driver - Porting Package - MCU Family"/>
        <s v="Third-party License"/>
        <s v="Support Package"/>
        <s v="Development Maintenance for Company License for OEM"/>
        <s v="BSP - standard µC"/>
        <s v="BSP - non-standard µC"/>
        <s v="Single-User License (EB Assist)"/>
        <s v="EB tresos AutoCore Bootloader for BMW (CAN)"/>
        <s v="Dongled License (EB Assist)"/>
        <s v="Floating License (EB Assist)"/>
        <s v="Information"/>
        <s v="Infineon Evaluation License (3 months)"/>
        <s v="Development License - Subscription"/>
        <s v="Production License - per Unit"/>
        <s v="Production License - One-Time-Payment"/>
        <s v="Production License - Subscription per Unit"/>
        <s v="Maintenance - Subscription per Unit"/>
        <s v="Maintenance - Subscription"/>
        <s v="Domain License Maintenance (AutoCore)"/>
        <s v="Hardware Repair"/>
        <s v="Cybersecurity Maintenance - Subscription"/>
        <s v="Maintenance"/>
        <s v="Node Locked License - Subscription"/>
        <s v="Support package (Elektrobit product)"/>
        <s v="License Services (EB Assist)"/>
        <s v="Development - Subscription"/>
        <s v="One time fee"/>
        <s v="Continuance fee - per Unit"/>
        <s v="SW-Assurance (EB GUIDE)"/>
        <s v="Continuance fee - Subscription"/>
        <s v="Time and Material"/>
        <s v="Long Term Stable Maintenance - Subscription"/>
        <s v="Cybersecurity Update Package"/>
        <s v="Support Package (China)"/>
        <s v="Support Package (Europe)"/>
        <s v="Support Package (India)"/>
        <s v="Support Package (Japan)"/>
        <s v="Support Package (South Korea)"/>
        <s v="Support Package (USA)"/>
        <s v="Customization Services Qualification"/>
        <s v="Customization Services Porting &amp; Qualification"/>
        <s v="Training (EB FlexRay)"/>
        <s v="Eth Driver - Porting to new target"/>
        <s v="Development License (SourceCode)"/>
        <s v="Project License (Source Code)"/>
        <s v="Concept License Maintenance"/>
        <s v="Support of Ethernet Driver (MCAL)"/>
        <s v="Support of additional features, training etc."/>
        <s v="Evaluation / A-Sample License (Object-Code) Support &amp; Maintenance"/>
        <s v="Development Maintenance (TCP/IP)"/>
        <s v="Production Maintenance (TCP/IP)"/>
        <s v="Dongled Evaluation License (EB GUIDE)"/>
        <s v="Site License (EB GUIDE)"/>
        <s v="Site License Maintenance (EB GUIDE)"/>
        <s v="0 to 100.000 units"/>
        <s v="100.001 to 200.000 units"/>
        <s v="Firmware Support &amp; Maintenance"/>
        <s v="200.001 to 500.000 units"/>
        <s v="500.001 to 1.000.000 units"/>
        <s v="more than 1.000.000 units"/>
        <s v="more than 250.000"/>
        <s v="Node Locked License, Run-time (EB Assist ADTF)"/>
        <s v="Node Locked License, Developer (EB Assist ADTF)"/>
        <s v="Node Locked License 10 User"/>
        <s v="Node Locked License 20 User"/>
        <s v="Node Locked License, Development, 3 months (EB Assist ADTF)"/>
        <s v="Floating License, Developer (EB Assist ADTF)"/>
        <s v="Hardware"/>
        <s v="Floating License 10 Users"/>
        <s v="Node Locked License, Development, 6 months (EB Assist ADTF)"/>
        <s v="Node Locked License, Development, 12 months (EB Assist ADTF)"/>
        <s v="Node Locked License Maintenance Extension, Developer (EB Assist ADTF)"/>
        <s v="Node Locked License 10 User - Maintenance"/>
        <s v="Support Package (EB Assist ADTF)"/>
        <s v="University Project License"/>
        <s v="Platform Package"/>
        <s v="Domain License"/>
        <s v="Domain License Maintenance (OsekCore)"/>
        <s v="Training (EB AUTOSAR)"/>
        <s v="Company License for Tier 1"/>
        <s v="Company License Maintenance (OsekCore)"/>
        <s v="Support for new Derivative/Compiler/Toolchain"/>
        <s v="Support for one Project"/>
        <s v="Support of customer Watchdog and Power Supply Monitoring"/>
        <s v="Redistribution"/>
        <s v="Update"/>
        <s v="Package"/>
        <s v="License Shift without any EB tresos AutoCore Project AddOns for BMW"/>
        <s v="Dongled License Support &amp; Maintenance (EB MAid)"/>
      </sharedItems>
    </cacheField>
    <cacheField name="Description" numFmtId="0">
      <sharedItems containsBlank="1" count="334" longText="1">
        <s v="- Dongled License (as defined in Elektrobit T&amp;C)_x000a_- Including MAINTENANCE (as defined on page &quot;Definitions&quot;)"/>
        <s v="Three months time-limited, 2 full featured licenses for EB tresos Studio and EB tresos AutoCore. Designated engineering services, incl. travel expenses - Germany only."/>
        <s v="Perpetual, full-featured license. Includes one year patch releases."/>
        <s v="Update of a delivery of EB tresos AutoCore Generic for BMW with a newer version of BMW modules:_x000a__x000a_- Plug-in Creation/Integration into EB tresos Studio and _x000a__x000a_- Compile tests of BMW modules_x000a__x000a__x000a__x000a_The updated modules can be downloaded from EB command to be integrated into an existing project."/>
        <s v="Update with a newer version of MCALs:_x000a__x000a_- Plugin Creation/Integration into EB tresos Studio and _x000a__x000a_- Compile tests of updated MCAL modules_x000a__x000a__x000a__x000a_The updated modules can be downloaded from EB command to be integrated into an existing project."/>
        <m/>
        <s v="Re-qualification with other compiler variant, version, options etc."/>
        <s v="The Reference Bootloader Updater can be used to update the Bootloader of an ECU by using diagnostic communication. It integrates all Bootloader update relevant BMW specific system functionalities. The Reference Bootloader Updater is already pre-configured to update the EB tresos AutoCore Bootloader for BMW (CAN)._x000a__x000a__x000a__x000a_PLEASE NOTE: This article requires an EB tresos AutoCore Bootloader for BMW (CAN)."/>
        <s v="The CUSTOMER gets the right to use the license under the following condition:_x000a_a. The run-time software is developed for one CUSTOMER PRODUCT only._x000a_b. The run-time software is used for one µC family and compiler version only._x000a_- Including MAINTENANCE (as defined on page &quot;Definitions&quot;)_x000a__x000a_Additionally, the restrictions according to the LICENSE PROFILE defined on page &quot;Scope of license&quot; apply."/>
        <s v="- Valid for one year;_x000a__x000a_- MCAL module update as delivered from MCAL vendor."/>
        <s v="- Connection to MAC-Address;"/>
        <s v="The CUSTOMER gets the right to use the license under the following condition: _x000a_a. The run-time software is used for developing demonstrator systems or proof of concepts of one CUSTOMER PRODUCT before the final nomination to a Vehicle OEM Brand mass production project. _x000a_b. Limited license duration. As long as the CUSTOMER PRODUCT has not been nominated by an Vehicle OEM Brand, a new concept license can be purchased to extend the validity for a further year. _x000a_c. The run-time software is used for one µC derivate and compiler &amp; version only. _x000a__x000a_- Including MAINTENANCE (as defined on page &quot;Definitions&quot;) _x000a__x000a_Additionally, the restrictions according to the LICENSE PROFILE defined on page &quot;Scope of license&quot; apply."/>
        <s v="- Connection to FlexLM server;"/>
        <s v="_x000a__x000a_- For version 2.x,_x000a__x000a_- Per license."/>
        <s v="_x000a__x000a_- For version 2.x,_x000a__x000a_- Unlimited support by phone and e-mail included,_x000a__x000a_- Per license."/>
        <s v="_x000a__x000a_- Version 2.x"/>
        <s v="_x000a__x000a_- Version 2.x_x000a__x000a_- Unlimited support by phone and e-mail included."/>
        <s v="The Reference Application is the ideal basis to start developing an ECU in a BMW series project._x000a__x000a_It includes a preconfigured Autosar stack according to the BMW specific communication matrix for CAN (based on a dbc import), a reference implementation of mandatory BMW diagnostic services and BMW specific system functionalities; integrated and tested according to the BMW-specific software tests, integration tests and ECU acceptance tests._x000a__x000a__x000a__x000a_PLEASE NOTE: This article requires an EB tresos AutoCore Generic for BMW (CAN)."/>
        <s v="_x000a__x000a_- Per License."/>
        <s v="Extension of software updates an patch releases for one year."/>
        <s v="Extension of software updates an patch releases for one year and one seat."/>
        <s v="Inquire for a production maintenance package together with EB tresos AutoCore."/>
        <s v="Support after S.O.P; _x000a__x000a_This includes:   _x000a__x000a_- Reports of known problems_x000a__x000a_- Behavior observation _x000a__x000a_- Support of product specific problem analysis_x000a__x000a_- Patch deliveries_x000a__x000a__x000a__x000a_For further details please refer to: PD_EB_tresos_Maintenance_and_Support_Annex.pdf"/>
        <s v="The Reference Application is the ideal basis to start developing an ECU in a BMW series project._x000a__x000a_It includes a preconfigured Autosar stack according to the BMW specific communication matrix for FlexRay (based on a FIBEX import), a reference implementation of mandatory BMW diagnostic services and BMW specific system functionalities; integrated and tested according to the BMW-specific software tests, integration tests and ECU acceptance tests._x000a__x000a__x000a__x000a_PLEASE NOTE: This article requires an EB tresos AutoCore Generic for BMW (FlexRay)."/>
        <s v="The Reference Bootloader can be used to update the Application of an ECU by using diagnostic communication. It integrates all bootloading relevant BMW specific system functionalities. The Reference Bootloader / BootManager is already pre-configured to update the EB tresos AutoCore Reference Application for BMW (FlexRay)."/>
        <s v="The Reference Bootloader Updater can be used to update the Bootloader of an ECU by using diagnostic communication. It integrates all Bootloader update relevant BMW specific system functionalities. The Reference Bootloader Updater is already pre-configured to update the Reference Bootloader._x000a__x000a__x000a__x000a_PLEASE NOTE: This article requires an EB tresos AutoCore Bootloader for BMW (FlexRay)."/>
        <s v="EB offers a VAG/MQB specific Reference Application. For details please inquire."/>
        <s v="Perpetual, limited-featured license._x000a__x000a_Includes one year software updates and patch releases."/>
        <s v="- Embedded software for ELEKTROBIT HARDWARE (as defined in Elektrobit T&amp;C)"/>
        <s v="- ELEKTROBIT HARDWARE device_x000a_- Embedded software for ELEKTROBIT HARDWARE (as defined in Elektrobit T&amp;C)_x000a_- Specification defined in section &quot;Products and services&quot;_x000a_- Including MAINTENANCE (as defined on page &quot;Definitions&quot;)"/>
        <s v="Extension of Busmirror Run-time updates and patch releases for one year."/>
        <s v="Project specific verification of generated  RTE Code to enable the use of RTE code in ASIL software components.  _x000a__x000a_Requires the product EB tresos AutoCore Rte Partitioning."/>
        <s v="- Perpetual DEVELOPMENT LICENSE_x000a__x000a_- Includes free UPDATES to new product versions within the same primary version number for the first year."/>
        <s v="Integration services to integration EB tresos Safety OS with EB tresos AutoCore versions or OEM-specific stacks."/>
        <s v="Support before S.O.P;_x000a__x000a_- Valid for one year._x000a__x000a_- Customer get access to EB product support team and known problems will be reported.  _x000a__x000a_- Updates, e.g. patches and service releases._x000a__x000a__x000a__x000a_For further details please refer to PD_EB_tresos_Maintenance_and_Support_Annex.pdf"/>
        <s v="_x000a__x000a_EB offers a VAG/MLBevo specific Reference Application. For details please inquire."/>
        <s v="EB offers a VAG/MLBevo specific Reference Application. For details please inquire."/>
        <s v="EB offers a Daimler/ASR3.1 specific Reference Application. For details please inquire."/>
        <s v="- Commercial License _x000a__x000a_- valid for 12 months and 1 seat_x000a__x000a_- Includes EB GUIDE 6 Studio Enterprise License"/>
        <s v="- Perpetual LICENSE per seat_x000a__x000a_- Includes free UPDATES to new product versions within the same primary version number for 12 months"/>
        <s v="-Perpetual TOOLBOX DEVELOPER LICENSE per seat_x000a__x000a_-Includes free UPDATES to new product versions within the same primary version number for the first year_x000a__x000a_-Applies to ADTF 2 - Calibration Toolbox or ADTF 2 – ML/SL Toolbox"/>
        <s v="- Perpetual DEVELOPMENT LICENSE per seat_x000a__x000a_- Includes free UPDATES to new product versions within the same primary version number for the first year"/>
        <s v="- Per seat_x000a__x000a_- Includes free UPDATES to new product versions within the same primary version number for 12 month"/>
        <s v="- Per seat_x000a__x000a_- Includes free UPDATES to new product versions within the same primary version number for 12 months. _x000a__x000a_- Includes 10h support for 12 months_x000a__x000a__x000a__x000a_- Node locked licenses for EB GUIDE require a permanent LAN adapter connected. WLAN network connection cannot be supported with the official Oracle Java JRE delivered with EB GUIDE."/>
        <s v="Perpetual, full-featured license. Includes one year software upgrades, updates and patch releases."/>
        <s v="Extension of software upgrades, updates and patch releases for one year."/>
        <s v="The license is valid for the ordering company for the purpose of evaluating Elektrobit’s (EB) software in terms of usability, included features and applicability._x000a__x000a_EB recognizes correct use, if the evaluation license agreement is filled out and signed by CUSTOMER and EB."/>
        <s v="EB offers a Daimler/ASR3.2 specific Reference Application. For details please inquire."/>
        <s v="- Includes free UPDATES to new product versions within the same primary version number for 12 months."/>
        <s v="Qualification of EB tresos AutoCore for Daimler with a specific compiler on the target hardware derivate._x000a__x000a_The qualification includes:_x000a__x000a_- Module tests of all EB tresos AutoCore Generic modules  + EB tresos AutoCore OS _x000a__x000a_- Integration tests of EB tresos AutoCore Generic modules + EB tresos AutoCore OS _x000a__x000a_- Use case tests of EB tresos AutoCore Generic modules + EB tresos AutoCore OS + MCAL modules_x000a__x000a_EB provides a weekly report of the known issues of EB tresos AutoCore Generic modules and EB tresos AutoCore OS for a qualified delivery._x000a__x000a__x000a__x000a_This qualification of EB tresos AutoCore for Daimler can be ordered on demand, e.g. after an update of MCAL modules._x000a__x000a__x000a__x000a_A mass production approval for a delivery can only be given if the latest delivery of EB tresos AutoCore for Daimler has been qualified."/>
        <s v="The Reference Bootloader can be used to update the Application of an ECU by using diagnostic communication via CAN."/>
        <s v="The Reference Bootloader can be used to update the Application of an ECU by using diagnostic communication via FlexRay."/>
        <s v="- Perpetual DEVELOPMENT LICENSE per seat_x000a__x000a_- Includes free UPDATES to new product versions within the same primary version number for the first year."/>
        <s v="Qualification of EB tresos AutoCore with a specific compiler on the target hardware derivate._x000a__x000a_The qualification includes:_x000a__x000a_- Module tests of all EB tresos AutoCore Generic modules + EB tresos AutoCore OS _x000a__x000a_- Integration tests of EB tresos AutoCore Generic modules + EB tresos AutoCore OS _x000a__x000a_- Use case tests of EB tresos AutoCore Generic modules + EB tresos AutoCore OS + MCAL modules_x000a__x000a_EB provides a weekly report of the known issues of EB tresos AutoCore Generic modules and EB tresos AutoCore OS for a qualified delivery._x000a__x000a__x000a__x000a_This qualification of EB tresos AutoCore can be ordered on demand, e.g. after an update of MCAL modules._x000a__x000a__x000a__x000a_A mass production approval for a delivery can only be given if the latest delivery of EB tresos AutoCore has been qualified."/>
        <s v="Qualification of EB tresos AutoCore for BMW with a specific compiler on the target hardware derivate._x000a__x000a_The qualification includes:_x000a__x000a_- Module tests of all EB tresos AutoCore Generic modules  + EB tresos AutoCore OS _x000a__x000a_- Integration tests of EB tresos AutoCore Generic modules + EB tresos AutoCore OS _x000a__x000a_- Use case tests of EB tresos AutoCore Generic modules + EB tresos AutoCore OS + MCAL modules_x000a__x000a_EB provides a weekly report of the known issues of EB tresos AutoCore Generic modules and EB tresos AutoCore OS for a qualified delivery._x000a__x000a__x000a__x000a_This qualification of EB tresos AutoCore for BMW can be ordered on demand, e.g. after an update of MCAL modules._x000a__x000a__x000a__x000a_A mass production approval for a delivery can only be given if the latest delivery of EB tresos AutoCore for BMW has been qualified."/>
        <s v="Qualification of EB tresos AutoCore Reference Projects for one communication bus (CAN or FlexRay)._x000a__x000a_This qualification includes the reconfiguration of _x000a__x000a_- EB tresos AutoCore Reference Application for BMW_x000a__x000a_- EB tresos AutoCore Bootloader for BMW_x000a__x000a_- EB tresos AutoCore Bootloader Updater for BMW with updated modules and performing the_x000a__x000a_- BAC SW Tests with a specific compiler on the target hardware derivate._x000a__x000a__x000a__x000a_This qualification of EB tresos AutoCore Reference Projects for BMW can be ordered on demand, e.g. after an update of BMW modules or MCAL modules._x000a__x000a__x000a__x000a_PLEASE NOTE: In case of an update of MCAL modules,  first a qualification of the EB tresos AutoCore for BMW is required before a qualification of EB tresos AutoCore Reference Projects can be performed."/>
        <s v="_x000a__x000a_Project License for one OEM, one ECU; Including one year maintenance."/>
        <s v="Qualification with BMW ECU Acceptance Tests in addition to a qualification of EB tresos AutoCore Reference Projects for BMW._x000a__x000a__x000a__x000a_These BMW ECU acceptance tests are run by BMW with each delivery from the Tier1._x000a__x000a_To run these tests before the delivery to BMW can help to significantly reduce problems."/>
        <s v="Qualification of EB tresos AutoCore for VAG/MQB with a specific compiler on the target hardware derivate._x000a__x000a_The qualification includes:_x000a__x000a_- Module tests of all EB tresos AutoCore Generic modules + EB tresos AutoCore OS _x000a__x000a_- Integration tests of EB tresos AutoCore Generic modules + EB tresos AutoCore OS _x000a__x000a_- Use case tests of EB tresos AutoCore Generic modules + EB tresos AutoCore OS + MCAL modules_x000a__x000a_EB provides a weekly report of the known issues of EB tresos AutoCore Generic modules and EB tresos AutoCore OS for a qualified delivery._x000a__x000a__x000a__x000a_This qualification of EB tresos AutoCore for VAG/MQB can be ordered on demand, e.g. after an update of MCAL modules._x000a__x000a__x000a__x000a_A mass production approval for a delivery can only be given if the latest delivery of EB tresos AutoCore for VAG/MQB has been qualified."/>
        <s v="Extended maintenance for additional year."/>
        <s v="- The product can be used for the development of ECU run-time software, which is_x000a__x000a_not used for production prototypes (aka C-samples) or production of end-consumer_x000a__x000a_products._x000a__x000a_- Typical use cases: to develop prototyping or demonstrator systems for the_x000a__x000a_purpose of acquiring customers or to proof technical concepts._x000a__x000a_- Please inquire for availability. Concept Licenses are available for selected μC_x000a__x000a_derivatives only._x000a__x000a_- Production: no; μC: one target derivative, compiler and set of compiler options;_x000a__x000a_Number of projects: unlimited; Duration: one year_x000a__x000a_- The Safety Concept License does not include a Safety Manual and a Safety Statement from EB which are necessary to use the software in functional safety related projects."/>
        <s v="- Floating License per seat (as defined in Elektrobit T&amp;C)_x000a_- Including MAINTENANCE (as defined on page &quot;Definitions&quot;)"/>
        <s v="The CUSTOMER gets the right to use the license under the following condition: _x000a_a. The run-time software is used for one Vehicle OEM Brand only. _x000a_b. The run-time software is used for one Model generation only. _x000a_c. The run-time software is used for one CUSTOMER PRODUCT only. _x000a_d. The run-time software is used in one ECU software version only. _x000a_e. The run-time software is used for one µC derivate and compiler version only. _x000a__x000a_- Including MAINTENANCE (as defined on page &quot;Definitions&quot;) _x000a__x000a_Additionally, the restrictions according to the LICENSE PROFILE defined on page &quot;Scope of license&quot; apply."/>
        <s v="- The product is used for production projects restricted to one ECU project. We_x000a__x000a_recognize correct use, if all of the following conditions are met:_x000a__x000a_a. The run-time software is developed for one ECU, only._x000a__x000a_b. The ECU is used for one car platform of one OEM brand, only._x000a__x000a_- Typical use case: to develop and produce one ECU for one vehicle platform._x000a__x000a_- Please inquire for availability. Project Licenses are available for selected μC_x000a__x000a_derivatives only._x000a__x000a_- Production: yes; μC: one target derivative, compiler and set of compiler options;_x000a__x000a_Number of projects: one; Duration: perpetual;_x000a__x000a_- Includes one year Safety Life Cycle Project Maintenance._x000a__x000a_- EB recommends an ongoing Safety Life Cycle Project Maintenance contract for the time period the licensed software is in use."/>
        <s v="- The product is used for production projects restricted to one product line of ECUs._x000a__x000a_We recognize correct use, if the following conditions are all met:_x000a__x000a_a. The ECUs of one product line carry out the same basic control functionality._x000a__x000a_b. Variations of the control functionalities only reflect the differences of the car_x000a__x000a_platform, for which they are build._x000a__x000a_c. Variations of the control functionalities are implemented in the ECU software by_x000a__x000a_calibration parameters, calibration tables, pre-compile or pre-build software_x000a__x000a_configuration, only._x000a__x000a_- Typical use case: to develop and produce one line of ECUs with alike control_x000a__x000a_functionality for different vehicles._x000a__x000a_Production: yes; μC: one target, derivate, compiler and set of compiler options;_x000a__x000a_Number of projects: unlimited, different OEMs possible; Duration: perpetual;_x000a__x000a_- Includes one year Safety Life Cylce Product-Line Maintenance._x000a__x000a_- EB recommends an ongoing Safety Life Cycle Product-Line_x000a__x000a_Maintenance contract for the time period the licensed software is in use."/>
        <s v="- Life cycle: Time period the licensed software is in use._x000a__x000a_- Customer gets access to EB product support team and known problems will be reported_x000a__x000a_- Updates, e.g. patches and services releases_x000a__x000a__x000a__x000a_For further details please refer to PD_EB_tresos_Maintenance_and_Support_Annex.pdf"/>
        <s v="Discounted license with provisions only for development work. Production deployment of Software using this license is prohibited. The Freescale A-sample License has a two year term. For a subsequent purchase of a Freescale Project License or Freescale Product Line License the cost of the Freescale A-sample License originally purchased will apply to the list of the production use license. _x000a__x000a_one year support and maintenance is included."/>
        <s v="Support includes delivery of Freescale Software updates to new releases of the same major version number on availability. Support fees will be invoiced in advance for a period of twelve months per customer. Under a maintenance contract upgrades to new major versions are available at a 40% discount."/>
        <s v="This is a production use license that applies to only Freescale MCUs._x000a__x000a_- For use in one customer target project = one ECU for one OEM_x000a__x000a_- Unrestricted in time and production volume_x000a__x000a_- For initial delivery and maintenance a Freescale DISM Pack is required."/>
        <s v="This is a production use license that applies to only Freescale MCUs._x000a__x000a_- For use with one MCU family in one customer product line_x000a__x000a_- Unrestricted in time and production volume_x000a__x000a_- For initial delivery and maintenance a Freescale DISM Pack is required."/>
        <s v="- Extension of MAINTENANCE duration (as defined on page &quot;Definitions&quot;)_x000a_- Valid for existing Project License_x000a__x000a_Please note:_x000a_- Updates and bugfixes are provided for the latest software version only._x000a_- Tested only with the latest software version of related products (e.g., ELEKTROBIT TOOLING)."/>
        <s v="Evaluation license for 6 months for one project e.g. front body controller at one OEM."/>
        <s v="Evaluation license for one year for one project e.g. front body controller at one OEM (this amount is credited when upgrading to a Development or Reproduction License). one year support and maintenance is included."/>
        <s v="Support includes delivery of Updates of the INFINEON Software on availability. Support is limited to 15 hours per year. Support fees will be invoiced in advance for a period of twelve months per customer."/>
        <s v="- THIRD-PARTY COMPONENT (as defined in Elektrobit T&amp;C)_x000a_- Terms of Use according to Infineon Technologies AG (as defined in Terms of Use https://www.infineon.com/cms/en/about-infineon/usage-terms/)_x000a_- Specification defined in section &quot;Products and services&quot;"/>
        <s v="Support includes delivery of Updates of the INFINEON Software on availability. Support is limited to 25 hours per year. Support fees will be invoiced in advance for a period of twelve months per customer."/>
        <s v="- THIRD-PARTY COMPONENT (as defined in Elektrobit T&amp;C) _x000a_- Terms of Use according to Infineon Technologies AG (as defined in Terms of Use https://www.infineon.com/cms/en/about-infineon/usage-terms/) _x000a_- Specification defined in section &quot;Products and services&quot; _x000a__x000a_Additionally, the restrictions according to the LICENSE PROFILE defined on page &quot;Scope of license&quot; apply."/>
        <s v="- THIRD-PARTY COMPONENT (as defined in Elektrobit T&amp;C) _x000a_- Terms of Use according to Infineon Technologies AG (as defined in Terms of Use https://www.infineon.com/cms/en/about-infineon/usage-terms/) _x000a_- Specification defined in section &quot;Products and services&quot; _x000a_- Includes 15-hour Elektrobit product-related support by phone or support portal. Quota valid for 12 months"/>
        <s v="- Perpetual DEVELOPMENT LICENSE per seat_x000a__x000a_- Includes free UPDATES to new product versions within the same primary version number for the first year. _x000a__x000a_- Includes 10h support for the first year"/>
        <s v="- Perpetual DEVELOPMENT LICENSE per seat_x000a__x000a_- Includes free UPDATES to new product versions within the same primary version number for the first year. _x000a__x000a_- Includes 10h support for the first year_x000a__x000a__x000a__x000a_- Node locked licenses for EB GUIDE require a permanent connected LAN adapter. WLAN network connection cannot be supported with the official Oracle Java JRE delivered with EB GUIDE."/>
        <s v="- Per seat_x000a__x000a_- UPGRADE to new product version within the next primary version number._x000a__x000a__x000a__x000a_- Node locked licenses for EB GUIDE require a permanent LAN adapter connected. WLAN network connection cannot be supported with the official Oracle Java JRE delivered with EB GUIDE."/>
        <s v="_x000a__x000a_License upgrade does not renew maintenance period."/>
        <s v="- Per seat_x000a__x000a_- UPGRADE to new product version within the next primary version number."/>
        <s v="- Per seat_x000a__x000a_- Includes free UPDATES to new product versions within the same primary version number for 12 months. _x000a__x000a_- Includes 10h support for 12 months"/>
        <s v="- Per seat_x000a__x000a_- Temporary DEVELOPMENT LICENSE for a 3 months period. _x000a__x000a_- Includes free UPDATES to new product versions within the same primary version number._x000a__x000a__x000a__x000a_- Node locked licenses for EB GUIDE require a permanent LAN adapter connected. WLAN network connection cannot be supported with the official Oracle Java JRE delivered with EB GUIDE."/>
        <s v="- Per seat_x000a__x000a_- Temporary DEVELOPMENT LICENSE for a 3 months period. _x000a__x000a_- Includes free UPDATES to new product versions within the same primary version number."/>
        <s v="Full-featured license, valid for 3 months. Includes software updates and patch releases for 3 months. If the customers buys a perpetual license, EB will not refund the expenses for such a leased license."/>
        <s v="Module Integration Package"/>
        <s v="Update of a Module Integration Package"/>
        <s v="Extended maintenance per additional year."/>
        <s v="Module qualification package (QP1)"/>
        <s v="The update of the module qualification package (QP1.up) includes the re-execution of module tests._x000a__x000a_A qualification report is delivered."/>
        <s v="The stack integration package (IP2) includes the integration of dedicated modules _x000a__x000a_- Into a software stack _x000a__x000a_- And basic tests of this software stack."/>
        <s v="The update of the stack integration package (IP2.up) includes a reintegration of dedicated modules _x000a__x000a_- Into a software stack _x000a__x000a_- And basic tests of this software stack"/>
        <s v="The qualification package (QP2) performs execution of stack tests of a software stack."/>
        <s v="Update of qualification package (QP2) which performs execution of stack tests of a software stack."/>
        <s v="Reference Integration Package"/>
        <s v="Update of a Reference Integration Package"/>
        <s v="The reference qualification package (QP3) includes the execution of software tests of a reference project._x000a__x000a_A qualification report is delivered."/>
        <s v="The update of the reference qualification package (QP3.up) includes the re-execution of software tests of an updated reference project._x000a__x000a_A qualification report is delivered."/>
        <s v="_x000a__x000a_Includes software upgrades to new AutoCore versions, updates and patch releases for the µC derivate."/>
        <s v="- Extension of MAINTENANCE duration (as defined on page &quot;Definitions&quot;) _x000a_- Valid for existing Product Line License _x000a__x000a_Please note: _x000a_- Updates and bugfixes are provided for the latest software version only. _x000a_- Tested only with the latest software version of related products (e.g., ELEKTROBIT TOOLING)."/>
        <s v="- Extension of MAINTENANCE duration (as defined on page &quot;Definitions&quot;)_x000a_- Valid for existing Company License for Tier 1_x000a__x000a_Please note:_x000a_- Updates and bugfixes are provided for the latest software version only._x000a_- Tested only with the latest software version of related products (e.g., ELEKTROBIT TOOLING)."/>
        <s v="To use the Deliverables for educational, non-commercial purposes in universities and technical schools. With respect to EB Products that are tools, Licensee shall generate software modules in object code only and shall not disclose or provide the generated software modules to any third party. NOTWITHSTANDING ANY OTHER PROVISION OF THIS AGREEMENT, IT IS ACKNOWLEDGED AND AGREED THAT ALL DELIVERBLES AND SERVICES PROVIDED UNDER OR IN CONNECTION WITH AN EDUCATIONAL LICENSE ARE PROVIDED ON A STRICTLY “AS IS” BASIS, WITHOUT RECOURSE OR WARRANTY OF ANY KIND. WITHOUT LIMITING THE FOREGOING, THE PROVISIONS OF SECTIONS 7.1, 7.2 and 8 SHALL NOT APPLY."/>
        <s v="_x000a__x000a_One time purchase only. Perpetual; Includes free updates to new product versions within the same primary version number."/>
        <s v="- Per seat_x000a__x000a_- Includes free UPDATES to new product versions within the same primary version number for 12 months"/>
        <s v="_x000a__x000a_20% of total amount of developer licenses within a customer. _x000a__x000a_Includes free updates to new product versions within the same primary version number. 10 h support per Development license; _x000a__x000a__x000a__x000a_10% maintenance fee for all runtime licenses and toolboxes. No support for runtime licenses nor toolboxes"/>
        <s v="_x000a__x000a_Perpetual, no updates included."/>
        <s v="The CUSTOMER gets the right to use the license under the following condition:_x000a_a. The run-time software is used for one Vehicle OEM Brand only._x000a_b. The run-time software is used for one µC family and compiler version only._x000a_- Including MAINTENANCE (as defined on page &quot;Definitions&quot;)_x000a__x000a_Additionally, the restrictions according to the LICENSE PROFILE defined on page &quot;Scope of license&quot; apply."/>
        <s v="- Extension of MAINTENANCE duration (as defined on page &quot;Definitions&quot;)_x000a_- Valid for existing OEM-restricted Company License for Tier 1_x000a__x000a_Please note:_x000a_- Updates and bugfixes are provided for the latest software version only._x000a_- Tested only with the latest software version of related products (e.g., ELEKTROBIT TOOLING)."/>
        <s v="Porting of the modules to support a specific platform, including qualification tests."/>
        <s v="Three month time-limited, full-featured license. Max. two extensions of one month each."/>
        <s v="- Node locked licenses for EB GUIDE require a permanent LAN adapter connected. WLAN network connection cannot be supported with the official Oracle Java JRE delivered with EB GUIDE."/>
        <s v="Integration of all the modules which belong to the Bootloader (hw-dependent and hw-independant)._x000a__x000a_Integration tests are executed on the target/compiler of the project."/>
        <s v="Qualification tests of the hw-independent modules which belong to the bootloader on the project target/compiler."/>
        <s v="_x000a__x000a_- Includes free UPDATES to new product versions within the same primary version number for the first year. _x000a__x000a_- Includes 10h support for the first year."/>
        <s v="- Per seat_x000a__x000a_- Includes free UPDATES to new product versions within the same primary version number for 12 months_x000a__x000a_- Includes 10h 1st Level Support_x000a__x000a_- Includes all standard toolboxes"/>
        <s v="- Per seat_x000a__x000a_- Includes free UPDATES to new product versions within the same primary version number for 12 months_x000a__x000a_- Includes all standard toolboxes"/>
        <s v="- Perpetual TOOLBOX DEVELOPER LICENSE per seat;_x000a__x000a_-Includes free UPDATES to new product versions within the same primary version number for the first year_x000a__x000a_-Applies to ADTF 2 - Calibration Toolbox or ADTF 2 – ML/SL Toolbox"/>
        <s v="Qualification tests of this module on the project target/compiler."/>
        <s v="Presentation License valid for 12 months. Free UPDATES to new product versions within the same primary version number for 12 months."/>
        <s v="- Perpetual DEVELOPMENT LICENSE"/>
        <s v="Templates are only example code. Templates can be re-used in ECU software of CUSTOMER if CUSTOMER has performed sufficient qualification."/>
        <s v="The DISM Pack contains:_x000a__x000a_- Initial Delivery of SW package and configuration tool_x000a__x000a_- License file valid one year for SW package and configuration tool_x000a__x000a_- One year access to:_x000a__x000a_* Technical Support (Email)_x000a__x000a_* Quality Package_x000a__x000a_* Hot fixes and patches_x000a__x000a_* Software updates (new releases)_x000a__x000a_And for customers not holding a production license yet:_x000a__x000a_- Development License for building ECU samples and prototypes (max. 500 units) valid for one year for a maximum of 3 development projects in parallel (but no series production rights)."/>
        <s v="This is a production use license that applies to only Freescale MCUs._x000a__x000a_- License for use with one MCU family_x000a__x000a_- Unrestricted in time_x000a__x000a_- Limited to total ECU production volume of 250k units_x000a__x000a_- For initial delivery and maintenance a Freescale DISM Pack is required."/>
        <s v="Perpetual, full-featured license. Includes one year software updates and patch releases."/>
        <s v="- Single-User License (as defined in Elektrobit T&amp;C)_x000a_- Including MAINTENANCE (as defined on page &quot;Definitions&quot;)"/>
        <s v="- Extension of MAINTENANCE duration (as defined on page &quot;Definitions&quot;)_x000a_- Valid for existing Single-User License (as defined in Elektrobit T&amp;C)"/>
        <s v="License change from Studio for ACG6 to EB tresos Studio for ACG7. After license change this license can explecitely used for EB tresos Studio for ACG7. Maintenance for EB tresos Studio for ACG6 (if existing) will be transfered to EB tresos Studio for ACG7."/>
        <s v="License change from EB tresos Studio for ACG6 to EB tresos Studio for ACG7. After license change this license can explecitely used for EB tresos Studio for ACG7. Maintenance for EB tresos Studio for ACG6 (if existing) will be transfered to EB tresos Studio for ACG7."/>
        <s v="License extension from EB tresos Studio for ACG6 to EB tresos Studio for ACG7. After license change this license can also be used for Studio for ACG 7. Includes software updates and patch releases for Studio for ACG 7 for one year (no upgrades to any other Studio major version is included)."/>
        <s v="License extension from EB tresos  Studio for ACG6 to EB tresos Studio for ACG7. After license change this license can also be used for EB tresos Studio for ACG7. Includes software updates and patch releases for EB tresos Studio for ACG7 for one year (no upgrades to any other Studio major version is included)."/>
        <s v="License extension from EB tresos Studio for ACG6 to EB tresos Studio for ACG7. After license change this license can also be used for EB tresos Studio for ACG7. Includes software updates and patch releases for EB tresos Studio for ACG 7 for one year (no upgrades to any other Studio major version is included)."/>
        <s v="- Single-User Licenses (as defined in Elektrobit T&amp;C)_x000a_- Includes the right to distribute_x000a_- Including MAINTENANCE (as defined on page &quot;Definitions&quot;)"/>
        <s v="_x000a__x000a_- REPRODUCTION AND DISTRIBUTION LICENSE;_x000a__x000a_- Per distributed ECU equipped with EB GUIDE TF;"/>
        <s v="The CUSTOMER gets the right to use the license under the following condition:_x000a_a. The run-time software is used for one Vehicle OEM Brand only._x000a_b. The run-time software is used for one CUSTOMER PRODUCT only._x000a_c. The run-time software is used for one µC derivate and compiler &amp; version only._x000a_- Including MAINTENANCE (as defined on page &quot;Definitions&quot;)_x000a__x000a_Additionally, the restrictions according to the LICENSE PROFILE defined on page &quot;Scope of license&quot; apply."/>
        <s v="- Extension of MAINTENANCE duration (as defined on page &quot;Definitions&quot;) _x000a_- Valid for existing ECU Cross-Platform License for OEM _x000a_ _x000a_Please note: _x000a_- Updates and bugfixes are provided for the latest software version only. _x000a_- Tested only with the latest software version of related products (e.g., ELEKTROBIT TOOLING)."/>
        <s v="- Perpetual DEVELOPMENT LICENSE per seat_x000a__x000a_- Includes free UPDATES to new product versions within the same primary version number for the first year._x000a__x000a__x000a__x000a_- Node locked licenses for EB GUIDE require a permanent LAN adapter connected. WLAN network connection cannot be supported with the official Oracle Java JRE delivered with EB GUIDE."/>
        <s v="- Per seat_x000a__x000a_- Includes free UPDATES to new product versions within the same primary version number for 12 months._x000a__x000a__x000a__x000a_- Node locked licenses for EB GUIDE require a permanent LAN adapter connected. WLAN network connection cannot be supported with the official Oracle Java JRE delivered with EB GUIDE."/>
        <s v="- Per seat_x000a__x000a_- Includes free UPDATES to new product versions within the same primary version number for 12 months."/>
        <s v="Perpetual floating license, server based."/>
        <s v="Unlimited licenses for partners´ customers to use partners´ modules."/>
        <s v="Porting of the CAN Driver to support new target including qualification tests."/>
        <s v="Porting of the CAN Driver to support new derivatives or compiler releases including qualification tests."/>
        <s v="Option: Delivery of requirements traceability from OEM to EB's Design and module tests reports."/>
        <s v="Option: Configuration of all the modules according to projects´ specific requirements including qualification tests."/>
        <s v="Porting of the LIN Driver to support new target including qualification tests."/>
        <s v="Porting of the LIN Driver to support new derivatives or compiler releases including qualification tests."/>
        <s v="Porting of the FLASH Driver to support new target including qualification tests."/>
        <s v="Porting of the FLASH Driver to support new derivatives or compiler releases including qualification tests."/>
        <s v="The license is valid for one mass production project of one Tier1 product of the purchasing company and is restricted to one OEM and to one car model._x000a__x000a__x000a__x000a_EB recognizes correct use, if the license is used according to EB T&amp;C Clause &quot;2.1.3 Reproduction and Distribution License“ and in addition all of the following conditions are met: _x000a__x000a_a. The run-time software is used for one OEM, only._x000a__x000a_b. The run-time software is used for one car model, only._x000a__x000a_c. The run-time software is used for one Tier1 product, only._x000a__x000a_d. The run-time software is used in one ECU software version, only._x000a__x000a_e. The run-time software is used for one HW microcontroller and compiler version, only._x000a__x000a__x000a__x000a_The license is valid for the following license parameters:_x000a__x000a_- Mass production: yes_x000a__x000a_- Tier1 product: one, as defined in License Profile above._x000a__x000a_- OEM: "/>
        <s v="- Extension of MAINTENANCE duration (as defined on page &quot;Definitions&quot;)_x000a_- Valid for existing Dongled License (as defined in Elektrobit T&amp;C)"/>
        <s v="_x000a__x000a_- Annual fee_x000a__x000a_- Fixing of errors reported by licensee._x000a__x000a_- Minor version updates during 12 months (including new features)_x000a__x000a_- Command Server access"/>
        <s v="Extension of software upgrades, updates and patch releases for one year._x000a__x000a__x000a__x000a_Maintenance contract: Includes maintenance and support of the currently implemented methods, algorithms and specifications. _x000a__x000a_This position does NOT contain efforts caused due to changes in methods, algorithms and specifications e.g., by customer specification changes, or new features. These changes have to be quoted separately."/>
        <s v="- Valid for one year_x000a__x000a_- Access to updates and bugfixes of the licensed product_x000a__x000a_Please Note:_x000a__x000a_* updates and bugfixes are given for the latest version of the product only_x000a__x000a_* tested only on Windows platform with the EB tresos Studio 2011.a version (tool version for OsekCore product) _x000a__x000a_* requires an ongoing EB tresos Studio maintenance_x000a__x000a_* to receive a complete integrated and tested OsekCore product, additional Ipx and QPx services are recommended_x000a__x000a__x000a__x000a_For further details please refer to the annex PD_EB_tresos_Maintenance_and_Support_Annex.pdf"/>
        <s v="- Extension of MAINTENANCE duration (as defined on page &quot;Definitions&quot;) _x000a_- Valid for existing OEM restricted Product Line License _x000a__x000a_Please note: _x000a_- Updates and bugfixes are provided for the latest software version only. _x000a_- Tested only with the latest software version of related products (e.g., ELEKTROBIT TOOLING)."/>
        <s v="- Valid for one year_x000a__x000a_- Access to updates and bugfixes of the licensed product_x000a__x000a_Please Note:_x000a__x000a_* updates and bugfixes are given for the latest version of the product only_x000a__x000a_* tested only with the latest version of related products, e.g., EB tresos Studio_x000a__x000a_* requires an ongoing EB tresos Studio maintenance_x000a__x000a_* to receive a complete integrated and tested AUTOSAR stack additional IP and QP update services are recommended_x000a__x000a__x000a__x000a_For further details please refer to the annex PD_EB_tresos_Maintenance_and_Support_Annex.pdf"/>
        <s v="- Verification if OS release is compatible with the sub-derivative._x000a__x000a_- Verification of custom compiler options._x000a__x000a_- No adaptation of the OS source code included."/>
        <s v="Porting package to support a compiler version including a basic set of qualification tests."/>
        <s v="Porting package to support a new compiler including a basic set of qualification tests."/>
        <s v="Porting package to support a new derivative of an existing MCU family including a basic set of qualification tests."/>
        <s v="Porting package to support a new MCU family including a basic set of qualification tests."/>
        <s v="EB safety approval stating that additional verification measures to ensure that release criteria for projects up to ASIL-D are met were carried out. This can be ordered for production quality releases together with a qualification or porting package."/>
        <s v="_x000a__x000a_- Annual fee;"/>
        <s v="- Single-User License (as defined in Elektrobit T&amp;C) _x000a_- Further specifications can be found in the related &quot;Evaluation license agreement&quot; which need to be signed by CUSTOMER and Elektrobit."/>
        <s v="- Single-User Licenses (as defined in Elektrobit T&amp;C) for partners of CUSTOMERS, to evaluate partners modules and EB tresos Studio."/>
        <s v="Valid license of EB IP-stack and MCAL Eth driver, including stack qualification required"/>
        <s v="- Platform-dependent build of module_x000a__x000a_- Verification of platform assumptions_x000a__x000a_- Verification assumptions from tool qualification plan and documentation in tool qualification report_x000a__x000a_- Issue of quality record"/>
        <s v="Update of qualification tests of the hw-independent modules which belongs to the bootloader on the project target/compiler."/>
        <s v="Update of the integration of all the modules which belong to the Bootloader (hw-dependent and hw-independant)._x000a__x000a_Integration tests are re-executed on the target/compiler of the project."/>
        <s v="Update of qualification tests of this module on the project target/compiler."/>
        <s v="- UPGRADE to new product version within the next primary version number."/>
        <s v="- EB GUIDE Version: 6.x_x000a__x000a_- EB GUIDE Studio Speech Extension incl. Language Package._x000a__x000a_- Number of seats: 10 seats_x000a__x000a_- Limitation in time: 12 months_x000a__x000a_- Support and Service: _x000a__x000a_  Includes update right and 10 hours product support via email ticket system for 12 months._x000a__x000a_- Source Code Disclosure: not available_x000a__x000a__x000a__x000a_RUNTIME SOFTWARE TARGET SYSTEM: Standard EB GUIDE TF Rapid Prototyping Ports as listed in the current EB GUIDE TF Ports Product Description."/>
        <s v="- Perpetual DEVELOPMENT LICENSE without limitation in seats_x000a__x000a_- License key is not required"/>
        <s v="Dongled License. Perpetual,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
        <s v="Dongled License. Perpetual, full-featured license. License extension of previous version to offered version. After license extension this license can also be used for the offered version of EB tresos Studio. Maintenance of the existing version of EB tresos Studio will be considered within the offered version."/>
        <s v="Single-User License. Perpetual,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
        <s v="Single-User License. Perpetual, full-featured license. License extension of previous version to offered version. After license extension this license can also be used for the offered version of EB tresos Studio. Maintenance of the existing version of EB tresos Studio will be considered within the offered version."/>
        <s v="Floating License. Perpetual, concurrent, full-featured license. License change from previous version to offered version. After license change this license can explicitly be used for the offered version of EB tresos Studio. Maintenance (if existing) of the previous version of EB tresos Studio will be transferred to the offered version."/>
        <s v="Floating License. Perpetual, concurrent, full-featured license. License extension of previous version to offered version. After license extension this license can also be used for the offered version of EB tresos Studio. Maintenance of the existing version of EB tresos Studio will be considered within the offered version."/>
        <s v="The license entitles employees of CUSTOMER to use the DELIVERABLE on one personal computer owned by or under the control of LICENSEE. The license does not allow to install the DELIVERABLES on multiple personal computers or otherwise enable the use of the DELIVERABLE to more than one developer, e.g. network or virtualization. This type of license is usually used in project related development teams. Every engineer has its own license."/>
        <s v="Further specifications can be found in the related &quot;Evaluation license agreement&quot; which need to be signed by CUSTOMER and Elektrobit."/>
        <s v="Adaptation of the NM module code according to the OEM specification, including qualification on Windows platform."/>
        <s v="Integration of the NM module and the NM wrapper with a dedicated ACG release._x000a__x000a_Integration tests (based on stubs of ACG components) are executed on Windows platform."/>
        <s v="Update of the integration of the NM module and the NM wrapper with a dedicated ACG release._x000a__x000a_Integration tests (based on stubs of ACG components) are executed on Windows platform."/>
        <s v="Qualification tests of the hw-independent modules which belong to the Stack on the_x000a__x000a_project target/compiler."/>
        <s v="Update of qualification tests of the hw-independent modules which belong to the_x000a__x000a_Stack on the project target/compiler."/>
        <s v="Adaptation of the NM Wrapper module code according to the OEM specification, including qualification on Windows platform."/>
        <s v="Integration of all the modules which belong to the Stack (hw-independent and hw-dependant)._x000a__x000a_Integration tests are executed on the target/compiler of the project."/>
        <s v="Update of the integration of all the modules which belong to the Stack (hw-dependent_x000a__x000a_and hw-independant)._x000a__x000a_Integration tests are re-executed on the target/compiler of the project."/>
        <s v="_x000a__x000a_Time limited license."/>
        <s v="The CUSTOMER gets the right to use the license under the following condition:_x000a_a. The run-time software is used for one µC family and compiler version only._x000a_b. The run-time software is used by one Business unit of the CUSTOMER._x000a_- Including MAINTENANCE (as defined on page &quot;Definitions&quot;)_x000a__x000a_Additionally, the restrictions according to the LICENSE PROFILE defined on page &quot;Scope of license&quot; apply."/>
        <s v="Qualification of the Driver with custom compiler options. No adaptation of the Driver source code included."/>
        <s v="Porting of the Driver to support a new compiler version including qualification tests."/>
        <s v="Porting of the Driver to support a new compiler including qualification tests."/>
        <s v="Porting of the Driver to support a new derivative of an existing MCU family including qualification tests."/>
        <s v="Porting of the Driver to support a new MCU family including qualification tests."/>
        <s v="Perpetual, full featured license for developing applications and samples, production is not covered. 12 months maintenance and support via phone and e-mail included."/>
        <s v="-Perpetual RUNTIME LICENSE per seat;_x000a__x000a_-Includes free UPDATES to new product versions within the same primary version number for the first year._x000a__x000a_-Includes all standard toolboxes"/>
        <s v="- Perpetual DEVELOPMENT LICENSE per seat"/>
        <s v="Extension of software updates and patch releases for one year._x000a__x000a_Contains ten hours of support per developer seat."/>
        <s v="- Perpetual TOOLBOX DEVELOPER LICENSE per seat;_x000a__x000a_-Includes free UPDATES to new product versions within the same primary version number for the first year._x000a__x000a_-Applies to ADTF 2 - Calibration Toolbox or ADTF 2 – ML/SL Toolbox"/>
        <s v="Full development and production license for one single ECU project based on one µC derivative and one compiler version. 12 months maintenance and support via phone and email included."/>
        <s v="Update of a Startup Package"/>
        <s v="- Perpetual LICENSE per seat;_x000a__x000a_- Includes free UPDATES to new product versions within the same primary version number for the first year._x000a__x000a_- EB Assist ADTF 2 Development License not included._x000a__x000a_- Source code is not included._x000a__x000a__x000a__x000a_Precondition: Valid EB Assist ADTF 2 Development License. _x000a__x000a__x000a__x000a_This license is meant for non-mass-production projects."/>
        <s v="- Perpetual LICENSE per device;_x000a__x000a_- Includes free UPDATES to new product versions within the same primary version number for the first year._x000a__x000a_- Source code is not included._x000a__x000a__x000a__x000a_This license is meant for non-mass-production projects."/>
        <s v="- Perpetual LICENSE per project;_x000a__x000a_- Includes free UPDATES to new product versions within the same primary version number for the first year._x000a__x000a__x000a__x000a_Specific target system:_x000a__x000a_- Specific HW: tbd_x000a__x000a_- µController: tbd_x000a__x000a_- OS: tbd_x000a__x000a_- Application Framework: tbd_x000a__x000a_- Compiler + settings: tbd"/>
        <s v="Porting package to support a new feature set or compiler version including a basic set of qualification tests."/>
        <s v="- Perpetual LICENSE per seat;_x000a__x000a_- Includes free UPDATES to new product versions within the same primary version number for 12 months."/>
        <s v="- Extension of MAINTENANCE duration (as defined on page &quot;Definitions&quot;)_x000a_- Valid for existing BU License for Tier 1_x000a__x000a_Please note:_x000a_- Updates and bugfixes are provided for the latest software version only._x000a_- Tested only with the latest software version of related products (e.g., ELEKTROBIT TOOLING)."/>
        <s v="DEVELOPMENT LICENSE including:_x000a__x000a_- EB GUIDE Version: 6.x_x000a__x000a_- EB GUIDE Studio Speech Extension incl. Language Package_x000a__x000a_- Number of seats: 1 seat_x000a__x000a_- Limitation in time: 12 months_x000a__x000a_- Support and Service:_x000a__x000a_Includes update right and 10 hours product support via e-mail ticket system for 12 months._x000a__x000a_- Source Code Disclosure: not available_x000a__x000a_- EB GUIDE GTF Rapid Prototyping Ports as listed in latest version of document &quot;EB GUIDE 6 Graphics Target Framework (GTF) Ports&quot;"/>
        <s v="Additional seat for EB GUIDE 6 Studio Enterprise License - Base Package:_x000a__x000a_- Number of additional seats: 1 seat_x000a__x000a_- Limitation in time: 12 months_x000a__x000a_- Includes update right for 12 months_x000a__x000a__x000a__x000a_Precondition: valid EB GUIDE 6 Studio Enterprise License - Base Package"/>
        <s v="- Includes free UPDATES to new product versions within the same primary version number."/>
        <s v="Full development and production license for one single ECU project based on one µC derivative and one compiler version. 12 months maintenance and support via phone and e-mail included."/>
        <s v="- Perpetual license"/>
        <s v="- Perpetual license, without update right"/>
        <s v="- Elektrobit product-related support by phone or email. Quota valid for 12 months"/>
        <s v="- Per device_x000a__x000a_- Includes free UPDATES to new product versions within the same primary version number for 12 months._x000a__x000a__x000a__x000a_Precondition: Running support &amp; maintenance contract."/>
        <s v="_x000a__x000a_- Perpetual LICENSE per seat;_x000a__x000a_- Includes free UPDATES to new product versions within the same primary version number for 12 months."/>
        <s v="- Extension of MAINTENANCE duration (as defined on page &quot;Definitions&quot;)_x000a_- Valid for existing Floating License per seat (as defined in Elektrobit T&amp;C)"/>
        <s v="- Perpetual LICENSE per seat_x000a__x000a_- Includes free UPDATES to new product versions within the same primary version number for 12 month"/>
        <s v="- EB GUIDE Version: 6.x_x000a__x000a_- EB GUIDE Studio Speech Extension incl. Language Package._x000a__x000a_- Number of seats: 10 seats_x000a__x000a_- Limitation in time: 12 months_x000a__x000a_- Includes update right for 12 months._x000a__x000a_- Source Code Disclosure: not available_x000a__x000a_ _x000a__x000a_RUNTIME SOFTWARE TARGET SYSTEM: Standard EB GUIDE TF Rapid Prototyping Ports as listed in the current EB GUIDE TF Ports Product Description"/>
        <s v="- EB GUIDE Version: 6.x_x000a__x000a_- EB GUIDE Studio Speech Extension incl. Language Package._x000a__x000a_- Number of seats: 1 seat_x000a__x000a_- Limitation in time: 12 months_x000a__x000a_- Includes update right for 12 months._x000a__x000a_- Source Code Disclosure: not available_x000a__x000a_ _x000a__x000a_RUNTIME SOFTWARE TARGET SYSTEM: Standard EB GUIDE TF Rapid Prototyping Ports as listed in the current EB GUIDE TF Ports Product Description"/>
        <s v="- Includes 10 hours Q&amp;A support for 12 months._x000a__x000a_- Support via email and phone."/>
        <s v="- Includes 20 hours Q&amp;A support for 12 months._x000a__x000a_- Support via email and phone."/>
        <s v="Development Licence and Support Package for customers who want to integrate EB robinos ADASIS software library into their HW and SW environment by their own (not needed if the product is sold as part of a EB customer project)_x000a__x000a__x000a__x000a_includes:_x000a__x000a_- delivery of the newest Version_x000a__x000a_- up to 80h of technical support within 1 year_x000a__x000a_- updates to new software releases within 1 year"/>
        <s v="Extension of the Development Licence and Support Package for another 1 year_x000a__x000a_(not needed if the product is sold as part of a EB customer project)_x000a__x000a_includes:_x000a__x000a_- delivery of the newest Version _x000a__x000a_- up to 80h of technical support within 1 year_x000a__x000a_- updates to new software releases within 1 year"/>
        <s v="Royality based invoicing per year. _x000a__x000a_ In compliance with paragraph 2.1 of the EB License Terms and Conditions, EB  grants to the customer under the EB Intellectual Property Rights a non-exclusive, worldwide, non-transferable, royalty-bearing license, limited and restricted to a certain amount of target units."/>
        <s v="Royality based invoicing per year. _x000a__x000a_In compliance with paragraph 2.1 of the EB License Terms and Conditions, EB  grants to the customer under the EB Intellectual Property Rights a non-exclusive, worldwide, non-transferable, royalty-bearing license, limited and restricted to a certain amount of target units."/>
        <s v="Full development and production license for all ECU projects in one product line of one company based on one µC family and one compiler version. Support for one dedicated µC derivative included. 12 months maintenance and support via phone and e-mail included."/>
        <s v="In compliance with paragraph 2.1 of the EB License Terms and Conditions, EB  grants to the customer under the EB Intellectual Property Rights a non-exclusive, worldwide, non-transferable, free temporary license, limited and restricted to a timeframe of six month (with possible extension after that), to a single seat and restricted to non-mass-production projects."/>
        <s v="In compliance with paragraph 2.1 of the EB License Terms and Conditions, EB  grants to the customer under the EB Intellectual Property Rights a non-exclusive, worldwide, non-transferable, fee-bearing license, limited , restricted to a specific project and restricted to the commission target platform."/>
        <s v="- Right to use EB cadian Sync onboard components for defined integration project_x000a__x000a_- Hosting of one customer specific server instance incl.:_x000a__x000a_- warranty and liability_x000a__x000a_- email support and issue analyzing via Jira queue_x000a__x000a_- services:_x000a__x000a_- issue and ticket management_x000a__x000a_- fixing of errors_x000a__x000a_- reporting and metrics_x000a__x000a_- providing support infrastructure_x000a__x000a_- Includes 80 support hours annually (e.g.:_x000a__x000a_- advice on efficient usage of EB cadian Sync_x000a__x000a_- license has to be ordered from SOD until latest SOP of the project_x000a__x000a_- precondition to apply for project specific optimization_x000a__x000a_- precondition to apply project specific extension_x000a__x000a_- does not include Production License"/>
        <s v="The license is valid for one mass production project of one Tier1 product of the purchasing company and is restricted to one Vehicle OEM and to one Vehicle Model Generation._x000a__x000a_EB recognizes correct use, if the license is used according to EB T&amp;C Clause &quot;2.1.3 Reproduction and Distribution License“ and in addition all of the following conditions are met:_x000a__x000a_a. The run-time software is used for one Vehicle OEM only._x000a__x000a_b. The run-time software is used for one Vehicle Model Generation only._x000a__x000a_Additionally the license is valid for the following license parameters:_x000a__x000a_- Mass production: yes_x000a__x000a_- Vehicle Model Generation: one, as defined in License Profile above._x000a__x000a_- Duration: one year"/>
        <s v="In compliance with paragraph 2.1 of the EB License Terms and Conditions, EB  grants to the customer under the EB Intellectual Property Rights a non-exclusive, worldwide, non-transferable, royalty-bearing license, limited and restricted to a certain amount of target units per year."/>
        <s v="Extension of software updates and patch releases for one year._x000a__x000a_Contains 10 hours of support per developer seat."/>
        <s v="The license is valid for one mass production project of one Tier1 product of the purchasing company and is restricted to one Vehicle OEM_x000a__x000a_and to one Vehicle Model Generation._x000a__x000a_EB recognizes correct use, if the license is used according to EB T&amp;C Clause &quot;2.1.3 Reproduction and Distribution License“ and in addition all_x000a__x000a_of the following conditions are met:_x000a__x000a_a. The run-time software is used for one Vehicle OEM only._x000a__x000a_b. The run-time software is used for one Vehicle Model Generation only._x000a__x000a_c. The run-time software is used for one Tier1 product only._x000a__x000a_d. The run-time software is used in one ECU software version only._x000a__x000a_e. The run-time software is used for one HW microcontroller derivate and compiler version only._x000a__x000a_Additionally the license is valid for the following license parameters:_x000a__x000a_- Mass production: yes_x000a__x000a_- Tier1 product: one, as defined in License Profile above._x000a__x000a_- Vehicle OEM: one, as defined in License Profile above._x000a__x000a_- Vehicle Model Generation: one, as defined in License Profile above._x000a__x000a_- Tier1: one, as defined in License Profile above._x000a__x000a_- ECU Software version: one_x000a__x000a_- μC &amp; compiler: one hw derivate and one compiler, as defined in License Profile above._x000a__x000a_- Duration: one year_x000a__x000a__x000a__x000a_EB defines a Tier1 product as follows:_x000a__x000a_a. ECUs of a Tier1 product carry out the same basic control functionality, e.g., Park Assistant, Airbag, Climate Control Unit, Lane Departure_x000a__x000a_Warning, Wind shield wipers._x000a__x000a_b. Variations of the basic control functionalities in the ECUs only reflect the differences of multiple OEM car model generations, for which the_x000a__x000a_ECUs of a Tier1 product are built for._x000a__x000a_EB defines an ECU software version as follows:_x000a__x000a_a. One specific binary of an ECU software._x000a__x000a_b. Variations of the control functionalities for different car models within the platform are implemented in the ECU software by calibration_x000a__x000a_parameters, calibration tables, pre-compile or pre-build software configuration, only."/>
        <s v="Full development and production license for all ECU projects in one company based on one µC family and one compiler version. Support for one dedicated µC derivative included. 12 months maintenance and support via phone and e-mail included."/>
        <s v="The license is valid for one mass production project of one Tier1 product of the purchasing company and is restricted to one Vehicle OEM and to one Vehicle Model Generation._x000a__x000a_EB recognizes correct use, if the license is used according to EB T&amp;C Clause &quot;2.1.3 Reproduction and Distribution License“ and in addition all of the following conditions are met:_x000a__x000a_a. The run-time software is used for one Vehicle OEM only._x000a__x000a_B. The run-time software is used for one Vehicle Model Generation only._x000a__x000a_Additionally the license is valid for the following license parameters:_x000a__x000a_- Mass production: yes_x000a__x000a_- Vehicle OEM: one, as defined in License Profile above._x000a__x000a_- Duration: perpetual"/>
        <s v="_x000a__x000a_- Per seat;_x000a__x000a_-Includes free UPDATES to new product versions within the same primary version number for 12 months._x000a__x000a_-Applies to ADTF 2 - Calibration Toolbox or ADTF 2 – ML/SL Toolbox"/>
        <s v="- Perpetual, concurrent DEVELOPMENT LICENSE per seat_x000a__x000a_- Includes 20h Support  for the first year_x000a__x000a_- Includes all standard toolboxes"/>
        <s v="- Perpetual RUN-TIME LICENSE per seat_x000a__x000a_- Includes all standard toolboxes"/>
        <s v="- Perpetual, concurrent RUN-TIME LICENSE per seat_x000a__x000a_- Includes all standard toolboxes"/>
        <s v="- DEVELOPMENT LICENSE per seat_x000a__x000a_- Includes 3h Support_x000a__x000a_- Includes all standard toolboxes"/>
        <s v="- DEVELOPMENT LICENSE per seat_x000a__x000a_- Includes 5h Support_x000a__x000a_- Includes all standard toolboxes"/>
        <s v="- DEVELOPMENT LICENSE per seat_x000a__x000a_- Includes 10h Support_x000a__x000a_- Includes all standard toolboxes"/>
        <s v="- RUN-TIME LICENSE per seat_x000a__x000a_- Includes all standard toolboxes"/>
        <s v="- Perpetual, concurrent DEVELOPMENT LICENSE per seat"/>
        <s v="- Perpetual RUN-TIME LICENSE per seat"/>
        <s v="- Perpetual, concurrent RUN-TIME LICENSE per seat"/>
        <s v="- Perpetual DEVELOPMENT LICENSE per seat_x000a__x000a_- Includes 20h Support for the first year_x000a__x000a_- Includes all standard toolboxes"/>
        <s v="- Developer License – Node Locked (as defined in &quot;EB Assist License Terms&quot;) _x000a_- Including MAINTENANCE (as defined on page &quot;Definitions&quot;) _x000a_- Includes 10-hour Elektrobit product-related support by phone or support portal. Quota valid for 12 months"/>
        <s v="- Extension of MAINTENANCE duration (as defined on page &quot;Definitions&quot;) _x000a_- Valid for existing Developer License – Node Locked (as defined in &quot;EB Assist License Terms&quot;) _x000a_- Includes 10-hour Elektrobit product-related support by phone or support portal. Quota valid for 12 months"/>
        <s v="- Developer License – Floating per seat (as defined in &quot;EB Assist License Terms&quot;) _x000a_- Including MAINTENANCE (as defined on page &quot;Definitions&quot;) _x000a_- Includes 10-hour Elektrobit product-related support by phone or support portal. Quota valid for 12 months"/>
        <s v="- Extension of MAINTENANCE duration (as defined on page &quot;Definitions&quot;) _x000a_- Valid for existing Developer License – Floating per seat (as defined in &quot;EB Assist License Terms&quot;) _x000a_- Includes 10-hour Elektrobit product-related support by phone or support portal. Quota valid for 12 months"/>
        <s v="- Runtime License – Node Locked (as defined in &quot;EB Assist License Terms&quot;)_x000a_- Including MAINTENANCE (as defined on page &quot;Definitions&quot;)"/>
        <s v="- Extension of MAINTENANCE duration (as defined on page &quot;Definitions&quot;)_x000a_- Valid for existing Runtime License – Node Locked (as defined in &quot;EB Assist License Terms&quot;)"/>
        <s v="- Runtime License – Floating per seat (as defined in &quot;EB Assist License Terms&quot;)_x000a_- Including MAINTENANCE (as defined on page &quot;Definitions&quot;)"/>
        <s v="- Extension of MAINTENANCE duration (as defined on page &quot;Definitions&quot;)_x000a_- Valid for existing Runtime License – Floating per seat (as defined in &quot;EB Assist License Terms&quot;)"/>
        <s v="-Per seat_x000a__x000a_-Includes free UPDATES to new product versions within the same primary version number for 12 months._x000a__x000a_-Applies to ADTF 2 - Calibration Toolbox or ADTF 2 – ML/SL Toolbox"/>
        <s v="-Per seat_x000a__x000a_-Includes free UPDATES to new product versions within the same primary version number for 12 months_x000a__x000a_-Applies to ADTF 2 - Calibration Toolbox or ADTF 2 – ML/SL Toolbox"/>
        <s v="- Migration perpetual DEVELOPMENT LICENSE ADTF-2 to ADTF-3 per seat_x000a__x000a_- Necessary prerequisite is a maintenance contract for ADTF-2 not ending before 1st of January 2019_x000a__x000a_- Includes free UPDATES to new product versions for one year starting with the end date of maintenance contract for ADTF-2_x000a__x000a_- Includes 10h Support for the first year_x000a__x000a_- Includes all standard toolboxes"/>
        <s v="- Migration perpetual concurrent DEVELOPMENT LICENSE ADTF-2 to ADTF-3 per seat_x000a__x000a_- Necessary prerequisite is a maintenance contract for ADTF-2 not ending before 1st of January 2019_x000a__x000a_- Includes free UPDATES to new product versions for one year starting with the end date of maintenance contract for ADTF-2_x000a__x000a_- Includes 10h Support for the first year_x000a__x000a_- Includes all standard toolboxes"/>
        <s v="- Information about Elektrobit training courses can be found on our website https://www.elektrobit.com/trainings/ _x000a_- General training terms apply as defined in Elektrobit T&amp;C for Training (Version 1.2 / July 2023)"/>
        <s v="- ELEKTROBIT HARDWARE-related service_x000a_- Scope defined in section &quot;Products and services&quot;."/>
        <s v="DEVELOPMENT LICENSE including:_x000a__x000a_- EB GUIDE Version: 6.x_x000a__x000a_- EB GUIDE Studio Speech Extension incl. Language Package_x000a__x000a_- Number of seats: 1 seat_x000a__x000a_- Limitation in time: 12 months_x000a__x000a_- Support and Service: Includes update right _x000a__x000a_- Source Code Disclosure: not available_x000a__x000a__x000a__x000a__x000a__x000a_Comment: Please delete &quot;EB GUIDE Studio Speech Extension incl. Language Package&quot; for versions of EB GUIDE 6 from 6.9 (i.e. Speech Extension is only included for 6.0 - 6.8)"/>
        <s v="Product Update / Compiler Version Update"/>
        <s v="Project License (including 1 year Maintenance)_x000a__x000a__x000a__x000a_- for one project e.g. front body controller at one OEM"/>
        <s v="Development license (additional 1,5 years including Maintenance)_x000a__x000a_- for additional 1,5 years for one project e.g. front body controller at one OEM (this amount is credited when upgrading to a Project License)_x000a__x000a_- can only be ordered to extend an existing Development License"/>
        <s v="Porting package to support a new derivative of an existing MCU family and/or a new feature set and/or a new compiler version/options. This package includes a safety qualification with safety approval from EB."/>
        <s v="Porting package to support a new derivative of an existing MCU family and/or a new feature set and/or a new compiler version/options. This package does not include a safety qualification and therefore, without safety approval from EB."/>
        <s v="Pay-per-Use License. Actual cost is calculated monthly, based on the real product usage."/>
        <s v="- Includes software upgrades, updates and patch releases for one year_x000a__x000a_- Includes 10 hours Q&amp;A support for 12 months_x000a__x000a_- Support via email and phone"/>
        <s v="Support includes delivery of Updates of the INFINEON Software on availability. Support is limited to 10 hours per year. Support fees will be invoiced in advance for a period of six months per customer."/>
        <s v="The product is used for production projects restricted to one application domain. We recognize the following application domains:_x000a__x000a_a. Body and Comfort_x000a__x000a_b. Powertrain_x000a__x000a_c. Chassis_x000a__x000a_d. Occupants and Passenger Safety_x000a__x000a_e. Multimedia, Telematics and Human-Machine Interface_x000a__x000a_Typical use case for this license is to develop and produce ECUs for one application domain for different vehicles._x000a__x000a_Production: yes; µC: family; Number of projects: unlimited; Duration: perpetual;"/>
        <s v="Support includes delivery of Updates of the INFINEON Software on availability. Support is limited to 7.5 hours (15 hours per year). Support fees will be invoiced in advance for a period of six months per customer."/>
        <s v="- Single-User License (as defined in Elektrobit T&amp;C)_x000a_- Including MAINTENANCE (as defined on page &quot;Definitions&quot;)_x000a_- Annual subscription will be automatically renewed if not terminated three months prior to expiration."/>
        <s v="- Floating License per seat (as defined in Elektrobit T&amp;C)_x000a_- Including MAINTENANCE (as defined on page &quot;Definitions&quot;)_x000a_- Annual subscription will be automatically renewed if not terminated three months prior to expiration."/>
        <s v="It is a combination of an active development subscription plus royalties per unit."/>
        <s v="The CUSTOMER gets the right to use the license under the following condition: _x000a_a. The run-time software is used for one Vehicle OEM Brand only. _x000a_b. The run-time software is used for one CUSTOMER PRODUCT only. _x000a_c. The run-time software is used for one µC derivate and compiler version only. _x000a_- Including MAINTENANCE (as defined on page &quot;Definitions&quot;) _x000a_ _x000a_Additionally, the restrictions according to the LICENSE PROFILE defined on page &quot;Scope of license&quot; apply."/>
        <s v="Limited development license for one project, one µC derivate, one basic software version, no production license included, can be used for developing prototypes."/>
        <s v="- THIRD-PARTY COMPONENT (as defined in Elektrobit T&amp;C)_x000a_- Third-party license according to product description &amp; T&amp;C of third-party company"/>
        <s v="- Extension of MAINTENANCE duration (as defined on page &quot;Definitions&quot;)_x000a_- Valid for existing Company License for OEM_x000a__x000a_Please note:_x000a_- Updates and bugfixes are provided for the latest software version only._x000a_- Tested only with the latest software version of related products (e.g., ELEKTROBIT TOOLING)."/>
        <s v="Board support package for a standard µC platform according to C focus list"/>
        <s v="Board support package for a non-standard µC platform according to µ focus list"/>
        <s v="- Single-User License (as defined in Elektrobit T&amp;C)"/>
        <s v="The Reference Bootloader can be used to update the Application of an ECU by using diagnostic communication. It integrates all bootloading relevant BMW specific system functionalities. The Reference Bootloader / BootManager are already pre-configured to update the EB tresos AutoCore Reference Application for BMW (CAN)."/>
        <s v="- Dongled License (as defined in Elektrobit T&amp;C)"/>
        <s v="- Floating License per seat (as defined in Elektrobit T&amp;C)"/>
        <s v="Specific information can be found in section &quot;Products and services&quot;."/>
        <s v="- Annual subscription will be automatically renewed if not terminated three months prior to expiration. _x000a_- Including MAINTENANCE (as defined on page &quot;Definitions&quot;) _x000a_ _x000a_Additionally, the restrictions according to the LICENSE PROFILE defined on page &quot;Scope of license&quot; apply."/>
        <s v="- Invoicing based on produced unit_x000a_- Price level based on annually produced volume_x000a__x000a_Additionally, the restrictions according to the LICENSE PROFILE defined on page &quot;Scope of license&quot; apply."/>
        <s v="- REPRODUCTION AND DISTRIBUTION LICENSE according to the defined TARGET ENVIRONMENT (as defined in Elektrobit T&amp;C)_x000a__x000a_- One-Time Payment for the defined production scenario as defined in the quote_x000a__x000a_- LICENSEE acknowledges and agrees that neither the LICENSED PRODUCT nor the RUNTIME SOFTWARE or GENERATED SOFTWARE may be used in any series production unless explicitly released for series production by EB."/>
        <s v="- Invoicing based on cumulated produced units_x000a_- Annual subscription will be automatically renewed if not terminated three months prior to expiration._x000a_- Including MAINTENANCE (as defined on page &quot;Definitions&quot;)_x000a__x000a_Additionally, the restrictions according to the LICENSE PROFILE defined on page &quot;Scope of license&quot; apply."/>
        <s v="- Installation of MAINTENANCE period (as defined on page &quot;Definitions&quot;)_x000a_- Provides the security vulnerability and bug fixes and the right to deploy it to production version software._x000a_- Valid for existing Production License – Subscription per Unit_x000a_- Invoicing based on cumulated produced units_x000a_- Annual subscription will be automatically renewed if not terminated three months prior to expiration._x000a__x000a_Additionally, the restrictions according to the LICENSE PROFILE defined on page &quot;Scope of license&quot; apply."/>
        <s v="- Installation of MAINTENANCE period (as defined on page &quot;Definitions&quot;) _x000a_- Provides the security vulnerability and bug fixes and the right to deploy it to production version software _x000a_- Valid for existing Production License – Royalty _x000a_- Annual subscription will be automatically renewed if not terminated three months prior to expiration. _x000a_ _x000a_Additionally, the restrictions according to the LICENSE PROFILE defined on page &quot;Scope of license&quot; apply."/>
        <s v="- ELEKTROBIT HARDWARE-related repair _x000a_- Scope defined in section &quot;Products and services&quot;."/>
        <s v="- Installation of MAINTENANCE period (as defined on page &quot;Definitions&quot;)_x000a_- Provides the Cybersecurity Maintenance as defined in the product description.  _x000a_- Possibility to get security vulnerability fixes for one specific RFM version and the right to deploy it to production version software._x000a_- Annual subscription will be automatically renewed if not terminated three months prior to expiration._x000a__x000a_Additionally, the restrictions according to the LICENSE PROFILE defined on page &quot;Scope of license&quot; apply._x000a_The CyberSecurity MAINTENANCE is valid for one specific RFM version only."/>
        <s v="- Installation of MAINTENANCE period (as defined on page &quot;Definitions&quot;) _x000a_- Provides the security vulnerability fixes, bug fixes and feature. updates and the right to deploy them to production version software _x000a_- Valid for existing Production License – Royalty _x000a_- Annual subscription will be automatically renewed if not terminated three months prior to expiration. _x000a_ _x000a_Additionally, the restrictions according to the LICENSE PROFILE defined on page &quot;Scope of license&quot; apply."/>
        <s v="- ELEKTROBIT HARDWARE-related repair_x000a_- Scope defined in section &quot;Products and Services&quot;"/>
        <s v="- Node Locked License (as defined in Elektrobit T&amp;C) _x000a_- Annual subscription will be automatically renewed if not terminated three months prior to expiration."/>
        <s v="- Elektrobit product-related support by phone or support portal. Quota valid for 12 months"/>
        <s v="- EB Assist license-related service_x000a_- Scope defined in section &quot;Products and services&quot;."/>
        <s v="- Annual subscription will be automatically renewed if not terminated three months prior to expiration. _x000a_- Including MAINTENANCE (as defined on page &quot;Definitions&quot;)."/>
        <s v="- Installation of MAINTENANCE period (as defined on page &quot;Definitions&quot;)_x000a_- Provides the security vulnerability and bug fixes and the right to deploy it to production version software_x000a_- Invoicing based on produced unit_x000a_- Price level based on annually produced volume"/>
        <s v="- Installation of MAINTENANCE period (as defined on page &quot;Definitions&quot;)_x000a_- Provides the security vulnerability and bug fixes and the right to deploy it to production version software_x000a_- Annual subscription will be automatically renewed if not terminated three months prior to expiration."/>
        <s v="- Installation of MAINTENANCE period (as defined on page &quot;Definitions&quot;)_x000a_- Includes the cybersecurity maintenance and additional bug fix support for one specific RFM version and right to deploy them to production version software as described in product description._x000a_- Annual subscription will be automatically renewed if not terminated three months prior to expiration._x000a__x000a_Additionally, the restrictions according to the LICENSE PROFILE defined on page &quot;Scope of license&quot; apply. _x000a_The Long Term Stable MAINTENANCE is valid for one specific RFM version only."/>
        <s v="Separately agreed software update including cybersecurity vulnerability fix for the agreed RfM version."/>
        <s v="Verification if OS release is compatible with the derivatives, compiler release and toolchain. Verification of custom compiler options. No adaption of the Os source code included."/>
        <s v="Porting of the OS to support new derivatives or compiler releases including qualification tests."/>
        <s v="The product is used for production projects restricted to one ECU project. We recognize correct use, if all of the following conditions are met:_x000a__x000a_a. The run-time software is developed for one ECU, only._x000a__x000a_b. The ECU is used for one car platform of one OEM brand, only._x000a__x000a_Typical use case: to develop and produce one ECU for one vehicle platform._x000a__x000a_Production: yes; µC: derivative; Number of projects: one; Duration: perpetual"/>
        <s v="Includes updates, e.g. patches and service release and 40% discount when upgrading to new AUTOSAR version."/>
        <s v="- Valid for one year._x000a__x000a_- Customer get access to EB product support team and known problems will be reported._x000a__x000a_- Updates and patch releases."/>
        <s v="- Includes up to three seats, full featured dongle based evaluation licenses."/>
        <s v="_x000a__x000a_- Basic development license"/>
        <s v="Extension of firmware updates and patch releases for one year."/>
        <s v="- Perpetual RUNTIME LICENSE per seat_x000a__x000a_- Includes free UPDATES to new product versions within the same primary version number for the first year_x000a__x000a_- Includes all standard toolboxes"/>
        <s v="- Perpetual DEVELOPMENT LICENSE per seat;_x000a__x000a_-Includes free UPDATES to new product versions within the same primary version number for the first year._x000a__x000a_-Includes 10h 1st Level Support_x000a__x000a_-Includes all standard toolboxes"/>
        <s v="_x000a__x000a_- Perpetual DEVELOPMENT LICENSE per seat:_x000a__x000a_- Includes free UPDATES to new product versions within the same primary version number for the first year._x000a__x000a_- Includes 10 h support for the first year."/>
        <s v="_x000a__x000a_- Perpetual DEVELOPMENT LICENSE per seat;_x000a__x000a_- Includes free UPDATES to new product versions within the same primary version number for the first year._x000a__x000a_- Includes 10 h support for the first year."/>
        <s v="- Per seat_x000a__x000a_- Includes free UPDATES to new product versions within the same primary version number_x000a__x000a_- Includes 3h support"/>
        <s v="- Perpetual DEVELOPMENT LICENSE per seat_x000a__x000a_- Includes free UPDATES to new product versions within the same primary version number for the first year_x000a__x000a_- Includes 10h 1st Level Support_x000a__x000a_- Includes all standard toolboxes"/>
        <s v="- ELEKTROBIT HARDWARE device_x000a_- Specification defined in section &quot;Products and services&quot;"/>
        <s v="_x000a__x000a_- Perpetual DEVELOPMENT LICENSE per seat;_x000a__x000a_- Includes free UPDATES to new product versions within the same primary version number for the first year. _x000a__x000a_- Includes 10 h support for the first year."/>
        <s v="- Per seat_x000a__x000a_- Includes free UPDATES to new product versions within the same primary version number_x000a__x000a_- Includes 5h support"/>
        <s v="- Per seat_x000a__x000a_- Includes free UPDATES to new product versions within the same primary version number_x000a__x000a_- Includes 10h support"/>
        <s v="_x000a__x000a_- Includes free UPDATES to new product versions within the same primary version number for the first year._x000a__x000a_- Includes 10 h support for the first year."/>
        <s v="The product is used for production projects restricted to one application domain. We recognize the following application domains:_x000a__x000a_a. Body and Comfort_x000a__x000a_b. Powertrain_x000a__x000a_c. Chassis_x000a__x000a_d. Occupants and Passenger Safety_x000a__x000a_e. Multimedia, Telematics and Human-Machine Interface_x000a__x000a_Typical use case for this license is to develop and produce ECUs for one application domain for different vehicles._x000a__x000a_Production: yes; µC: family; Number of projects: unlimited; Duration:perpetual"/>
        <s v="Extended maintenance per additional year;"/>
        <s v="The CUSTOMER gets the right to use the license under the following condition:_x000a_a. The run-time software is used for one µC family and compiler version only._x000a_- Including MAINTENANCE (as defined on page &quot;Definitions&quot;)_x000a__x000a_Additionally, the restrictions according to the LICENSE PROFILE defined on page &quot;Scope of license&quot; apply."/>
        <s v="Can not be ordered without project or product line license."/>
        <s v="Configuration and setup support for a project (one day-support-included). To be offered mandatory with any type of license. Should be ordered with any type of License, Realization of a new project  - one day-support included"/>
        <s v="Optional"/>
        <s v="The product is licensed for unrestricted use within and unrestricted redistribution by the purchaser's company. The IP remains solely at EB._x000a__x000a_Typical use case: to allow semiconductor vendors or OEMs to buy the product and to directly distribute it to their customers or suppliers._x000a__x000a_Production: yes; µC: family; Number of projects: unlimited; Duration: perpetual;"/>
      </sharedItems>
    </cacheField>
    <cacheField name="LicenseDuration" numFmtId="0">
      <sharedItems/>
    </cacheField>
    <cacheField name="MaintenanceDuration" numFmtId="0">
      <sharedItems/>
    </cacheField>
    <cacheField name="ExpectedDeliveryTime" numFmtId="0">
      <sharedItems/>
    </cacheField>
    <cacheField name="PaymentModel" numFmtId="0">
      <sharedItems/>
    </cacheField>
    <cacheField name="ExpectedInvoiceDate" numFmtId="0">
      <sharedItems/>
    </cacheField>
    <cacheField name="GrantOfRights" numFmtId="0">
      <sharedItems/>
    </cacheField>
    <cacheField name="Profile" numFmtId="0">
      <sharedItems/>
    </cacheField>
    <cacheField name="MandatoryOptional_ID" numFmtId="0">
      <sharedItems containsString="0" containsBlank="1" containsNumber="1" containsInteger="1" minValue="0" maxValue="0"/>
    </cacheField>
    <cacheField name="LicenseMethod" numFmtId="0">
      <sharedItems/>
    </cacheField>
    <cacheField name="Cost_Center" numFmtId="0">
      <sharedItems containsBlank="1"/>
    </cacheField>
    <cacheField name="Discount_Rate" numFmtId="0">
      <sharedItems containsSemiMixedTypes="0" containsString="0" containsNumber="1" containsInteger="1" minValue="0" maxValue="10"/>
    </cacheField>
    <cacheField name="Operational_Profit_Rate" numFmtId="0">
      <sharedItems containsString="0" containsBlank="1" containsNumber="1" containsInteger="1" minValue="0" maxValue="50"/>
    </cacheField>
    <cacheField name="OperationalProfitType" numFmtId="0">
      <sharedItems/>
    </cacheField>
    <cacheField name="Perpetual" numFmtId="0">
      <sharedItems/>
    </cacheField>
    <cacheField name="Support_Hours_Amount" numFmtId="0">
      <sharedItems containsString="0" containsBlank="1" containsNumber="1" containsInteger="1" minValue="0" maxValue="100"/>
    </cacheField>
    <cacheField name="UpdateRight" numFmtId="0">
      <sharedItems/>
    </cacheField>
    <cacheField name="Apply_Withholding_Tax"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9">
  <r>
    <x v="0"/>
    <s v="1"/>
    <x v="0"/>
    <x v="0"/>
    <s v="perpetual"/>
    <s v="12 months"/>
    <s v="FINALIZED PURCHASE PROCESS + 2 weeks"/>
    <s v="One-time payment"/>
    <s v="With FINAL DELIVERY"/>
    <s v="Elektrobit Tooling Licence"/>
    <s v="License"/>
    <m/>
    <s v="FlexNet Publisher Dongle License File"/>
    <s v="6400"/>
    <n v="10"/>
    <n v="50"/>
    <s v="Fix rate"/>
    <s v="TRUE"/>
    <m/>
    <s v="UpdateRightByConfiguration"/>
    <s v="TRUE"/>
  </r>
  <r>
    <x v="1"/>
    <s v="10"/>
    <x v="1"/>
    <x v="1"/>
    <e v="#N/A"/>
    <e v="#N/A"/>
    <e v="#N/A"/>
    <e v="#N/A"/>
    <e v="#N/A"/>
    <e v="#N/A"/>
    <s v="Product related service without profile"/>
    <m/>
    <s v="no technical license protection"/>
    <m/>
    <n v="10"/>
    <m/>
    <s v="Calculated"/>
    <s v="FALSE"/>
    <m/>
    <s v="none"/>
    <s v="TRUE"/>
  </r>
  <r>
    <x v="1"/>
    <s v="100"/>
    <x v="2"/>
    <x v="2"/>
    <e v="#N/A"/>
    <e v="#N/A"/>
    <e v="#N/A"/>
    <e v="#N/A"/>
    <e v="#N/A"/>
    <e v="#N/A"/>
    <s v="License"/>
    <m/>
    <s v="no technical license protection"/>
    <m/>
    <n v="10"/>
    <n v="50"/>
    <s v="Fix rate"/>
    <s v="FALSE"/>
    <m/>
    <s v="none"/>
    <s v="TRUE"/>
  </r>
  <r>
    <x v="1"/>
    <s v="101"/>
    <x v="3"/>
    <x v="3"/>
    <e v="#N/A"/>
    <e v="#N/A"/>
    <e v="#N/A"/>
    <e v="#N/A"/>
    <e v="#N/A"/>
    <e v="#N/A"/>
    <s v="Product related service without profile"/>
    <m/>
    <s v="no technical license protection"/>
    <m/>
    <n v="10"/>
    <m/>
    <s v="Calculated"/>
    <s v="FALSE"/>
    <m/>
    <s v="none"/>
    <s v="TRUE"/>
  </r>
  <r>
    <x v="1"/>
    <s v="102"/>
    <x v="4"/>
    <x v="4"/>
    <e v="#N/A"/>
    <e v="#N/A"/>
    <e v="#N/A"/>
    <e v="#N/A"/>
    <e v="#N/A"/>
    <e v="#N/A"/>
    <s v="Product related service without profile"/>
    <m/>
    <s v="no technical license protection"/>
    <m/>
    <n v="10"/>
    <m/>
    <s v="Calculated"/>
    <s v="FALSE"/>
    <m/>
    <s v="none"/>
    <s v="TRUE"/>
  </r>
  <r>
    <x v="1"/>
    <s v="103"/>
    <x v="5"/>
    <x v="5"/>
    <e v="#N/A"/>
    <e v="#N/A"/>
    <e v="#N/A"/>
    <e v="#N/A"/>
    <e v="#N/A"/>
    <e v="#N/A"/>
    <s v="Product related service without profile"/>
    <m/>
    <s v="no technical license protection"/>
    <m/>
    <n v="10"/>
    <m/>
    <s v="Calculated"/>
    <s v="FALSE"/>
    <m/>
    <s v="none"/>
    <s v="TRUE"/>
  </r>
  <r>
    <x v="1"/>
    <s v="104"/>
    <x v="6"/>
    <x v="6"/>
    <e v="#N/A"/>
    <e v="#N/A"/>
    <e v="#N/A"/>
    <e v="#N/A"/>
    <e v="#N/A"/>
    <e v="#N/A"/>
    <s v="Integration Package"/>
    <m/>
    <s v="no technical license protection"/>
    <m/>
    <n v="10"/>
    <n v="50"/>
    <s v="Fix rate"/>
    <s v="FALSE"/>
    <m/>
    <s v="none"/>
    <s v="TRUE"/>
  </r>
  <r>
    <x v="1"/>
    <s v="105"/>
    <x v="7"/>
    <x v="5"/>
    <e v="#N/A"/>
    <e v="#N/A"/>
    <e v="#N/A"/>
    <e v="#N/A"/>
    <e v="#N/A"/>
    <e v="#N/A"/>
    <s v="License"/>
    <m/>
    <s v="no technical license protection"/>
    <m/>
    <n v="10"/>
    <n v="50"/>
    <s v="Fix rate"/>
    <s v="FALSE"/>
    <m/>
    <s v="none"/>
    <s v="TRUE"/>
  </r>
  <r>
    <x v="1"/>
    <s v="106"/>
    <x v="8"/>
    <x v="7"/>
    <e v="#N/A"/>
    <e v="#N/A"/>
    <e v="#N/A"/>
    <e v="#N/A"/>
    <e v="#N/A"/>
    <e v="#N/A"/>
    <s v="License"/>
    <m/>
    <s v="no technical license protection"/>
    <m/>
    <n v="10"/>
    <n v="50"/>
    <s v="Fix rate"/>
    <s v="FALSE"/>
    <m/>
    <s v="none"/>
    <s v="TRUE"/>
  </r>
  <r>
    <x v="0"/>
    <s v="107"/>
    <x v="9"/>
    <x v="8"/>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108"/>
    <x v="10"/>
    <x v="9"/>
    <e v="#N/A"/>
    <e v="#N/A"/>
    <e v="#N/A"/>
    <e v="#N/A"/>
    <e v="#N/A"/>
    <e v="#N/A"/>
    <s v="License"/>
    <n v="0"/>
    <s v="no technical license protection"/>
    <m/>
    <n v="10"/>
    <n v="50"/>
    <s v="Fix rate"/>
    <s v="FALSE"/>
    <m/>
    <s v="none"/>
    <s v="TRUE"/>
  </r>
  <r>
    <x v="1"/>
    <s v="109"/>
    <x v="11"/>
    <x v="10"/>
    <e v="#N/A"/>
    <e v="#N/A"/>
    <e v="#N/A"/>
    <e v="#N/A"/>
    <e v="#N/A"/>
    <e v="#N/A"/>
    <s v="License"/>
    <m/>
    <s v="no technical license protection"/>
    <m/>
    <n v="10"/>
    <n v="50"/>
    <s v="Fix rate"/>
    <s v="FALSE"/>
    <m/>
    <s v="none"/>
    <s v="TRUE"/>
  </r>
  <r>
    <x v="0"/>
    <s v="11"/>
    <x v="12"/>
    <x v="11"/>
    <s v="12 months"/>
    <s v="12 months"/>
    <s v="FINALIZED PURCHASE PROCESS + 2 weeks"/>
    <s v="One-time payment"/>
    <s v="With FINAL DELIVERY"/>
    <s v="Development License"/>
    <s v="License"/>
    <m/>
    <s v="no technical license protection"/>
    <s v="6400"/>
    <n v="10"/>
    <n v="50"/>
    <s v="Fix rate"/>
    <s v="FALSE"/>
    <m/>
    <s v="UpdateRightByConfiguration"/>
    <s v="TRUE"/>
  </r>
  <r>
    <x v="1"/>
    <s v="110"/>
    <x v="13"/>
    <x v="12"/>
    <e v="#N/A"/>
    <e v="#N/A"/>
    <e v="#N/A"/>
    <e v="#N/A"/>
    <e v="#N/A"/>
    <e v="#N/A"/>
    <s v="License"/>
    <m/>
    <s v="no technical license protection"/>
    <m/>
    <n v="10"/>
    <n v="50"/>
    <s v="Fix rate"/>
    <s v="FALSE"/>
    <m/>
    <s v="none"/>
    <s v="TRUE"/>
  </r>
  <r>
    <x v="1"/>
    <s v="111"/>
    <x v="14"/>
    <x v="5"/>
    <e v="#N/A"/>
    <e v="#N/A"/>
    <e v="#N/A"/>
    <e v="#N/A"/>
    <e v="#N/A"/>
    <e v="#N/A"/>
    <s v="Product related service without profile"/>
    <m/>
    <s v="no technical license protection"/>
    <m/>
    <n v="10"/>
    <m/>
    <s v="Calculated"/>
    <s v="FALSE"/>
    <m/>
    <s v="none"/>
    <s v="TRUE"/>
  </r>
  <r>
    <x v="1"/>
    <s v="112"/>
    <x v="15"/>
    <x v="5"/>
    <e v="#N/A"/>
    <e v="#N/A"/>
    <e v="#N/A"/>
    <e v="#N/A"/>
    <e v="#N/A"/>
    <e v="#N/A"/>
    <s v="License"/>
    <m/>
    <s v="no technical license protection"/>
    <m/>
    <n v="10"/>
    <n v="50"/>
    <s v="Fix rate"/>
    <s v="FALSE"/>
    <m/>
    <s v="none"/>
    <s v="TRUE"/>
  </r>
  <r>
    <x v="1"/>
    <s v="113"/>
    <x v="16"/>
    <x v="13"/>
    <e v="#N/A"/>
    <e v="#N/A"/>
    <e v="#N/A"/>
    <e v="#N/A"/>
    <e v="#N/A"/>
    <e v="#N/A"/>
    <s v="License"/>
    <m/>
    <s v="no technical license protection"/>
    <m/>
    <n v="10"/>
    <n v="50"/>
    <s v="Fix rate"/>
    <s v="FALSE"/>
    <m/>
    <s v="none"/>
    <s v="TRUE"/>
  </r>
  <r>
    <x v="1"/>
    <s v="114"/>
    <x v="17"/>
    <x v="14"/>
    <e v="#N/A"/>
    <e v="#N/A"/>
    <e v="#N/A"/>
    <e v="#N/A"/>
    <e v="#N/A"/>
    <e v="#N/A"/>
    <s v="License"/>
    <m/>
    <s v="no technical license protection"/>
    <m/>
    <n v="10"/>
    <n v="50"/>
    <s v="Fix rate"/>
    <s v="FALSE"/>
    <m/>
    <s v="none"/>
    <s v="TRUE"/>
  </r>
  <r>
    <x v="1"/>
    <s v="115"/>
    <x v="18"/>
    <x v="15"/>
    <e v="#N/A"/>
    <e v="#N/A"/>
    <e v="#N/A"/>
    <e v="#N/A"/>
    <e v="#N/A"/>
    <e v="#N/A"/>
    <s v="License"/>
    <m/>
    <s v="no technical license protection"/>
    <m/>
    <n v="10"/>
    <n v="50"/>
    <s v="Fix rate"/>
    <s v="FALSE"/>
    <m/>
    <s v="none"/>
    <s v="TRUE"/>
  </r>
  <r>
    <x v="1"/>
    <s v="116"/>
    <x v="19"/>
    <x v="16"/>
    <e v="#N/A"/>
    <e v="#N/A"/>
    <e v="#N/A"/>
    <e v="#N/A"/>
    <e v="#N/A"/>
    <e v="#N/A"/>
    <s v="License"/>
    <m/>
    <s v="no technical license protection"/>
    <m/>
    <n v="10"/>
    <n v="50"/>
    <s v="Fix rate"/>
    <s v="FALSE"/>
    <m/>
    <s v="none"/>
    <s v="TRUE"/>
  </r>
  <r>
    <x v="1"/>
    <s v="117"/>
    <x v="20"/>
    <x v="17"/>
    <e v="#N/A"/>
    <e v="#N/A"/>
    <e v="#N/A"/>
    <e v="#N/A"/>
    <e v="#N/A"/>
    <e v="#N/A"/>
    <s v="Product related service without profile"/>
    <m/>
    <s v="no technical license protection"/>
    <m/>
    <n v="10"/>
    <m/>
    <s v="Calculated"/>
    <s v="FALSE"/>
    <m/>
    <s v="none"/>
    <s v="TRUE"/>
  </r>
  <r>
    <x v="1"/>
    <s v="118"/>
    <x v="21"/>
    <x v="18"/>
    <e v="#N/A"/>
    <e v="#N/A"/>
    <e v="#N/A"/>
    <e v="#N/A"/>
    <e v="#N/A"/>
    <e v="#N/A"/>
    <s v="License"/>
    <m/>
    <s v="no technical license protection"/>
    <m/>
    <n v="10"/>
    <n v="50"/>
    <s v="Fix rate"/>
    <s v="FALSE"/>
    <m/>
    <s v="none"/>
    <s v="TRUE"/>
  </r>
  <r>
    <x v="1"/>
    <s v="119"/>
    <x v="22"/>
    <x v="5"/>
    <e v="#N/A"/>
    <e v="#N/A"/>
    <e v="#N/A"/>
    <e v="#N/A"/>
    <e v="#N/A"/>
    <e v="#N/A"/>
    <s v="Training"/>
    <m/>
    <s v="no technical license protection"/>
    <s v="6400"/>
    <n v="10"/>
    <m/>
    <s v="Calculated"/>
    <s v="FALSE"/>
    <m/>
    <s v="none"/>
    <s v="TRUE"/>
  </r>
  <r>
    <x v="1"/>
    <s v="12"/>
    <x v="23"/>
    <x v="5"/>
    <e v="#N/A"/>
    <e v="#N/A"/>
    <e v="#N/A"/>
    <e v="#N/A"/>
    <e v="#N/A"/>
    <e v="#N/A"/>
    <s v="License"/>
    <m/>
    <s v="no technical license protection"/>
    <m/>
    <n v="10"/>
    <n v="50"/>
    <s v="Fix rate"/>
    <s v="FALSE"/>
    <m/>
    <s v="none"/>
    <s v="TRUE"/>
  </r>
  <r>
    <x v="1"/>
    <s v="120"/>
    <x v="24"/>
    <x v="19"/>
    <e v="#N/A"/>
    <e v="#N/A"/>
    <e v="#N/A"/>
    <e v="#N/A"/>
    <e v="#N/A"/>
    <e v="#N/A"/>
    <s v="License"/>
    <m/>
    <s v="no technical license protection"/>
    <m/>
    <n v="10"/>
    <n v="50"/>
    <s v="Fix rate"/>
    <s v="FALSE"/>
    <m/>
    <s v="none"/>
    <s v="TRUE"/>
  </r>
  <r>
    <x v="1"/>
    <s v="121"/>
    <x v="25"/>
    <x v="20"/>
    <e v="#N/A"/>
    <e v="#N/A"/>
    <e v="#N/A"/>
    <e v="#N/A"/>
    <e v="#N/A"/>
    <e v="#N/A"/>
    <s v="License"/>
    <m/>
    <s v="no technical license protection"/>
    <m/>
    <n v="10"/>
    <n v="50"/>
    <s v="Fix rate"/>
    <s v="FALSE"/>
    <m/>
    <s v="none"/>
    <s v="TRUE"/>
  </r>
  <r>
    <x v="1"/>
    <s v="122"/>
    <x v="26"/>
    <x v="21"/>
    <e v="#N/A"/>
    <e v="#N/A"/>
    <e v="#N/A"/>
    <e v="#N/A"/>
    <e v="#N/A"/>
    <e v="#N/A"/>
    <s v="License"/>
    <m/>
    <s v="no technical license protection"/>
    <m/>
    <n v="10"/>
    <n v="50"/>
    <s v="Fix rate"/>
    <s v="FALSE"/>
    <m/>
    <s v="none"/>
    <s v="TRUE"/>
  </r>
  <r>
    <x v="1"/>
    <s v="123"/>
    <x v="27"/>
    <x v="21"/>
    <e v="#N/A"/>
    <e v="#N/A"/>
    <e v="#N/A"/>
    <e v="#N/A"/>
    <e v="#N/A"/>
    <e v="#N/A"/>
    <s v="License"/>
    <m/>
    <s v="no technical license protection"/>
    <m/>
    <n v="10"/>
    <n v="50"/>
    <s v="Fix rate"/>
    <s v="FALSE"/>
    <m/>
    <s v="none"/>
    <s v="TRUE"/>
  </r>
  <r>
    <x v="1"/>
    <s v="124"/>
    <x v="28"/>
    <x v="22"/>
    <e v="#N/A"/>
    <e v="#N/A"/>
    <e v="#N/A"/>
    <e v="#N/A"/>
    <e v="#N/A"/>
    <e v="#N/A"/>
    <s v="License"/>
    <m/>
    <s v="no technical license protection"/>
    <m/>
    <n v="10"/>
    <n v="50"/>
    <s v="Fix rate"/>
    <s v="FALSE"/>
    <m/>
    <s v="none"/>
    <s v="TRUE"/>
  </r>
  <r>
    <x v="1"/>
    <s v="125"/>
    <x v="29"/>
    <x v="5"/>
    <e v="#N/A"/>
    <e v="#N/A"/>
    <e v="#N/A"/>
    <e v="#N/A"/>
    <e v="#N/A"/>
    <e v="#N/A"/>
    <s v="License"/>
    <m/>
    <s v="no technical license protection"/>
    <m/>
    <n v="10"/>
    <n v="50"/>
    <s v="Fix rate"/>
    <s v="FALSE"/>
    <m/>
    <s v="none"/>
    <s v="TRUE"/>
  </r>
  <r>
    <x v="1"/>
    <s v="126"/>
    <x v="30"/>
    <x v="5"/>
    <e v="#N/A"/>
    <e v="#N/A"/>
    <e v="#N/A"/>
    <e v="#N/A"/>
    <e v="#N/A"/>
    <e v="#N/A"/>
    <s v="License"/>
    <m/>
    <s v="no technical license protection"/>
    <m/>
    <n v="10"/>
    <n v="50"/>
    <s v="Fix rate"/>
    <s v="FALSE"/>
    <m/>
    <s v="none"/>
    <s v="TRUE"/>
  </r>
  <r>
    <x v="1"/>
    <s v="127"/>
    <x v="31"/>
    <x v="5"/>
    <e v="#N/A"/>
    <e v="#N/A"/>
    <e v="#N/A"/>
    <e v="#N/A"/>
    <e v="#N/A"/>
    <e v="#N/A"/>
    <s v="License"/>
    <m/>
    <s v="no technical license protection"/>
    <m/>
    <n v="10"/>
    <n v="50"/>
    <s v="Fix rate"/>
    <s v="FALSE"/>
    <m/>
    <s v="none"/>
    <s v="TRUE"/>
  </r>
  <r>
    <x v="1"/>
    <s v="128"/>
    <x v="32"/>
    <x v="5"/>
    <e v="#N/A"/>
    <e v="#N/A"/>
    <e v="#N/A"/>
    <e v="#N/A"/>
    <e v="#N/A"/>
    <e v="#N/A"/>
    <s v="License"/>
    <m/>
    <s v="no technical license protection"/>
    <m/>
    <n v="10"/>
    <n v="50"/>
    <s v="Fix rate"/>
    <s v="FALSE"/>
    <m/>
    <s v="none"/>
    <s v="TRUE"/>
  </r>
  <r>
    <x v="1"/>
    <s v="129"/>
    <x v="33"/>
    <x v="23"/>
    <e v="#N/A"/>
    <e v="#N/A"/>
    <e v="#N/A"/>
    <e v="#N/A"/>
    <e v="#N/A"/>
    <e v="#N/A"/>
    <s v="Product related service without profile"/>
    <m/>
    <s v="no technical license protection"/>
    <m/>
    <n v="10"/>
    <m/>
    <s v="Calculated"/>
    <s v="FALSE"/>
    <m/>
    <s v="none"/>
    <s v="TRUE"/>
  </r>
  <r>
    <x v="1"/>
    <s v="13"/>
    <x v="34"/>
    <x v="5"/>
    <e v="#N/A"/>
    <e v="#N/A"/>
    <e v="#N/A"/>
    <e v="#N/A"/>
    <e v="#N/A"/>
    <e v="#N/A"/>
    <s v="License"/>
    <m/>
    <s v="no technical license protection"/>
    <m/>
    <n v="10"/>
    <n v="50"/>
    <s v="Fix rate"/>
    <s v="TRUE"/>
    <m/>
    <e v="#N/A"/>
    <s v="TRUE"/>
  </r>
  <r>
    <x v="1"/>
    <s v="130"/>
    <x v="35"/>
    <x v="24"/>
    <e v="#N/A"/>
    <e v="#N/A"/>
    <e v="#N/A"/>
    <e v="#N/A"/>
    <e v="#N/A"/>
    <e v="#N/A"/>
    <s v="License"/>
    <m/>
    <s v="no technical license protection"/>
    <m/>
    <n v="10"/>
    <n v="50"/>
    <s v="Fix rate"/>
    <s v="FALSE"/>
    <m/>
    <s v="none"/>
    <s v="TRUE"/>
  </r>
  <r>
    <x v="1"/>
    <s v="131"/>
    <x v="36"/>
    <x v="25"/>
    <e v="#N/A"/>
    <e v="#N/A"/>
    <e v="#N/A"/>
    <e v="#N/A"/>
    <e v="#N/A"/>
    <e v="#N/A"/>
    <s v="License"/>
    <m/>
    <s v="no technical license protection"/>
    <m/>
    <n v="10"/>
    <n v="50"/>
    <s v="Fix rate"/>
    <s v="FALSE"/>
    <m/>
    <s v="none"/>
    <s v="TRUE"/>
  </r>
  <r>
    <x v="1"/>
    <s v="132"/>
    <x v="37"/>
    <x v="5"/>
    <e v="#N/A"/>
    <e v="#N/A"/>
    <e v="#N/A"/>
    <e v="#N/A"/>
    <e v="#N/A"/>
    <e v="#N/A"/>
    <s v="License"/>
    <m/>
    <s v="no technical license protection"/>
    <m/>
    <n v="10"/>
    <n v="50"/>
    <s v="Fix rate"/>
    <s v="FALSE"/>
    <m/>
    <s v="none"/>
    <s v="TRUE"/>
  </r>
  <r>
    <x v="1"/>
    <s v="133"/>
    <x v="38"/>
    <x v="5"/>
    <e v="#N/A"/>
    <e v="#N/A"/>
    <e v="#N/A"/>
    <e v="#N/A"/>
    <e v="#N/A"/>
    <e v="#N/A"/>
    <s v="License"/>
    <m/>
    <s v="no technical license protection"/>
    <m/>
    <n v="10"/>
    <n v="50"/>
    <s v="Fix rate"/>
    <s v="FALSE"/>
    <m/>
    <s v="none"/>
    <s v="TRUE"/>
  </r>
  <r>
    <x v="1"/>
    <s v="134"/>
    <x v="39"/>
    <x v="26"/>
    <e v="#N/A"/>
    <e v="#N/A"/>
    <e v="#N/A"/>
    <e v="#N/A"/>
    <e v="#N/A"/>
    <e v="#N/A"/>
    <s v="Product related service without profile"/>
    <m/>
    <s v="no technical license protection"/>
    <m/>
    <n v="10"/>
    <m/>
    <s v="Calculated"/>
    <s v="FALSE"/>
    <m/>
    <s v="none"/>
    <s v="TRUE"/>
  </r>
  <r>
    <x v="1"/>
    <s v="135"/>
    <x v="40"/>
    <x v="27"/>
    <e v="#N/A"/>
    <e v="#N/A"/>
    <e v="#N/A"/>
    <e v="#N/A"/>
    <e v="#N/A"/>
    <e v="#N/A"/>
    <s v="License"/>
    <m/>
    <s v="FlexNet Publisher Dongle License File"/>
    <s v="6400"/>
    <n v="10"/>
    <n v="50"/>
    <s v="Fix rate"/>
    <s v="TRUE"/>
    <m/>
    <s v="UpdateRightByConfiguration"/>
    <s v="TRUE"/>
  </r>
  <r>
    <x v="0"/>
    <s v="136"/>
    <x v="41"/>
    <x v="28"/>
    <s v="perpetual"/>
    <s v="n/a"/>
    <s v="Based on hardware delivery"/>
    <s v="One-time payment"/>
    <s v="With FINAL DELIVERY"/>
    <s v="Software integrated in Hardware"/>
    <s v="License"/>
    <m/>
    <s v="EB Hardware License File"/>
    <s v="6400"/>
    <n v="10"/>
    <n v="50"/>
    <s v="Fix rate"/>
    <s v="TRUE"/>
    <m/>
    <s v="none"/>
    <s v="TRUE"/>
  </r>
  <r>
    <x v="0"/>
    <s v="137"/>
    <x v="42"/>
    <x v="29"/>
    <s v="perpetual"/>
    <s v="12 months"/>
    <s v="FINALIZED PURCHASE PROCESS + 16 weeks"/>
    <s v="One-time payment"/>
    <s v="With FINAL DELIVERY"/>
    <s v="Software integrated in Hardware"/>
    <s v="Hardware"/>
    <m/>
    <s v="no technical license protection"/>
    <s v="6400"/>
    <n v="10"/>
    <m/>
    <s v="Calculated"/>
    <s v="TRUE"/>
    <m/>
    <s v="UpdateRightByConfiguration"/>
    <s v="TRUE"/>
  </r>
  <r>
    <x v="1"/>
    <s v="138"/>
    <x v="43"/>
    <x v="30"/>
    <e v="#N/A"/>
    <e v="#N/A"/>
    <e v="#N/A"/>
    <e v="#N/A"/>
    <e v="#N/A"/>
    <e v="#N/A"/>
    <s v="License"/>
    <m/>
    <s v="no technical license protection"/>
    <m/>
    <n v="10"/>
    <n v="50"/>
    <s v="Fix rate"/>
    <s v="FALSE"/>
    <m/>
    <s v="none"/>
    <s v="TRUE"/>
  </r>
  <r>
    <x v="1"/>
    <s v="139"/>
    <x v="44"/>
    <x v="31"/>
    <e v="#N/A"/>
    <e v="#N/A"/>
    <e v="#N/A"/>
    <e v="#N/A"/>
    <e v="#N/A"/>
    <e v="#N/A"/>
    <s v="Product related service without profile"/>
    <m/>
    <s v="no technical license protection"/>
    <m/>
    <n v="10"/>
    <m/>
    <s v="Calculated"/>
    <s v="FALSE"/>
    <m/>
    <s v="none"/>
    <s v="TRUE"/>
  </r>
  <r>
    <x v="1"/>
    <s v="14"/>
    <x v="45"/>
    <x v="32"/>
    <e v="#N/A"/>
    <e v="#N/A"/>
    <e v="#N/A"/>
    <e v="#N/A"/>
    <e v="#N/A"/>
    <e v="#N/A"/>
    <s v="License"/>
    <m/>
    <s v="no technical license protection"/>
    <s v="6400"/>
    <n v="10"/>
    <n v="50"/>
    <s v="Fix rate"/>
    <s v="TRUE"/>
    <m/>
    <s v="UpdateRightByConfiguration"/>
    <s v="TRUE"/>
  </r>
  <r>
    <x v="1"/>
    <s v="140"/>
    <x v="46"/>
    <x v="33"/>
    <e v="#N/A"/>
    <e v="#N/A"/>
    <e v="#N/A"/>
    <e v="#N/A"/>
    <e v="#N/A"/>
    <e v="#N/A"/>
    <s v="License"/>
    <m/>
    <s v="no technical license protection"/>
    <m/>
    <n v="10"/>
    <n v="50"/>
    <s v="Fix rate"/>
    <s v="FALSE"/>
    <m/>
    <s v="none"/>
    <s v="TRUE"/>
  </r>
  <r>
    <x v="1"/>
    <s v="141"/>
    <x v="47"/>
    <x v="5"/>
    <e v="#N/A"/>
    <e v="#N/A"/>
    <e v="#N/A"/>
    <e v="#N/A"/>
    <e v="#N/A"/>
    <e v="#N/A"/>
    <s v="Integration Package"/>
    <m/>
    <s v="no technical license protection"/>
    <m/>
    <n v="10"/>
    <n v="50"/>
    <s v="Fix rate"/>
    <s v="FALSE"/>
    <m/>
    <s v="none"/>
    <s v="TRUE"/>
  </r>
  <r>
    <x v="1"/>
    <s v="142"/>
    <x v="48"/>
    <x v="34"/>
    <e v="#N/A"/>
    <e v="#N/A"/>
    <e v="#N/A"/>
    <e v="#N/A"/>
    <e v="#N/A"/>
    <e v="#N/A"/>
    <s v="License"/>
    <m/>
    <s v="no technical license protection"/>
    <m/>
    <n v="10"/>
    <n v="50"/>
    <s v="Fix rate"/>
    <s v="FALSE"/>
    <m/>
    <s v="none"/>
    <s v="TRUE"/>
  </r>
  <r>
    <x v="1"/>
    <s v="143"/>
    <x v="49"/>
    <x v="35"/>
    <e v="#N/A"/>
    <e v="#N/A"/>
    <e v="#N/A"/>
    <e v="#N/A"/>
    <e v="#N/A"/>
    <e v="#N/A"/>
    <s v="Product related service without profile"/>
    <m/>
    <s v="no technical license protection"/>
    <m/>
    <n v="10"/>
    <m/>
    <s v="Calculated"/>
    <s v="FALSE"/>
    <m/>
    <s v="none"/>
    <s v="TRUE"/>
  </r>
  <r>
    <x v="1"/>
    <s v="144"/>
    <x v="50"/>
    <x v="36"/>
    <e v="#N/A"/>
    <e v="#N/A"/>
    <e v="#N/A"/>
    <e v="#N/A"/>
    <e v="#N/A"/>
    <e v="#N/A"/>
    <s v="Product related service without profile"/>
    <m/>
    <s v="no technical license protection"/>
    <m/>
    <n v="10"/>
    <m/>
    <s v="Calculated"/>
    <s v="FALSE"/>
    <m/>
    <s v="none"/>
    <s v="TRUE"/>
  </r>
  <r>
    <x v="1"/>
    <s v="145"/>
    <x v="51"/>
    <x v="37"/>
    <e v="#N/A"/>
    <e v="#N/A"/>
    <e v="#N/A"/>
    <e v="#N/A"/>
    <e v="#N/A"/>
    <e v="#N/A"/>
    <s v="Product related service without profile"/>
    <m/>
    <s v="no technical license protection"/>
    <m/>
    <n v="10"/>
    <m/>
    <s v="Calculated"/>
    <s v="FALSE"/>
    <m/>
    <s v="none"/>
    <s v="TRUE"/>
  </r>
  <r>
    <x v="1"/>
    <s v="146"/>
    <x v="52"/>
    <x v="37"/>
    <e v="#N/A"/>
    <e v="#N/A"/>
    <e v="#N/A"/>
    <e v="#N/A"/>
    <e v="#N/A"/>
    <e v="#N/A"/>
    <s v="Product related service without profile"/>
    <m/>
    <s v="no technical license protection"/>
    <m/>
    <n v="10"/>
    <m/>
    <s v="Calculated"/>
    <s v="FALSE"/>
    <m/>
    <s v="none"/>
    <s v="TRUE"/>
  </r>
  <r>
    <x v="1"/>
    <s v="147"/>
    <x v="53"/>
    <x v="5"/>
    <e v="#N/A"/>
    <e v="#N/A"/>
    <e v="#N/A"/>
    <e v="#N/A"/>
    <e v="#N/A"/>
    <e v="#N/A"/>
    <s v="Training"/>
    <m/>
    <s v="no technical license protection"/>
    <s v="6400"/>
    <n v="10"/>
    <m/>
    <s v="Calculated"/>
    <s v="FALSE"/>
    <m/>
    <s v="none"/>
    <s v="TRUE"/>
  </r>
  <r>
    <x v="1"/>
    <s v="148"/>
    <x v="54"/>
    <x v="5"/>
    <e v="#N/A"/>
    <e v="#N/A"/>
    <e v="#N/A"/>
    <e v="#N/A"/>
    <e v="#N/A"/>
    <e v="#N/A"/>
    <s v="Product related service without profile"/>
    <m/>
    <s v="no technical license protection"/>
    <s v="6400"/>
    <n v="10"/>
    <m/>
    <s v="Calculated"/>
    <s v="FALSE"/>
    <n v="10"/>
    <s v="none"/>
    <s v="TRUE"/>
  </r>
  <r>
    <x v="1"/>
    <s v="149"/>
    <x v="55"/>
    <x v="38"/>
    <e v="#N/A"/>
    <e v="#N/A"/>
    <e v="#N/A"/>
    <e v="#N/A"/>
    <e v="#N/A"/>
    <e v="#N/A"/>
    <s v="License"/>
    <m/>
    <s v="no technical license protection"/>
    <s v="6400"/>
    <n v="10"/>
    <n v="50"/>
    <s v="Fix rate"/>
    <s v="FALSE"/>
    <m/>
    <s v="none"/>
    <s v="TRUE"/>
  </r>
  <r>
    <x v="1"/>
    <s v="15"/>
    <x v="56"/>
    <x v="5"/>
    <e v="#N/A"/>
    <e v="#N/A"/>
    <e v="#N/A"/>
    <e v="#N/A"/>
    <e v="#N/A"/>
    <e v="#N/A"/>
    <s v="Product related service without profile"/>
    <m/>
    <s v="no technical license protection"/>
    <s v="6500"/>
    <n v="10"/>
    <m/>
    <s v="Calculated"/>
    <s v="FALSE"/>
    <m/>
    <s v="none"/>
    <s v="TRUE"/>
  </r>
  <r>
    <x v="1"/>
    <s v="150"/>
    <x v="57"/>
    <x v="5"/>
    <e v="#N/A"/>
    <e v="#N/A"/>
    <e v="#N/A"/>
    <e v="#N/A"/>
    <e v="#N/A"/>
    <e v="#N/A"/>
    <s v="License"/>
    <m/>
    <s v="no technical license protection"/>
    <s v="6400"/>
    <n v="10"/>
    <n v="50"/>
    <s v="Fix rate"/>
    <s v="FALSE"/>
    <m/>
    <s v="none"/>
    <s v="TRUE"/>
  </r>
  <r>
    <x v="1"/>
    <s v="151"/>
    <x v="58"/>
    <x v="5"/>
    <e v="#N/A"/>
    <e v="#N/A"/>
    <e v="#N/A"/>
    <e v="#N/A"/>
    <e v="#N/A"/>
    <e v="#N/A"/>
    <s v="License"/>
    <m/>
    <s v="no technical license protection"/>
    <s v="6400"/>
    <n v="10"/>
    <n v="50"/>
    <s v="Fix rate"/>
    <s v="FALSE"/>
    <m/>
    <s v="none"/>
    <s v="TRUE"/>
  </r>
  <r>
    <x v="1"/>
    <s v="152"/>
    <x v="59"/>
    <x v="5"/>
    <e v="#N/A"/>
    <e v="#N/A"/>
    <e v="#N/A"/>
    <e v="#N/A"/>
    <e v="#N/A"/>
    <e v="#N/A"/>
    <s v="License"/>
    <m/>
    <s v="no technical license protection"/>
    <s v="6400"/>
    <n v="10"/>
    <n v="50"/>
    <s v="Fix rate"/>
    <s v="TRUE"/>
    <n v="100"/>
    <s v="UpdateRightByConfiguration"/>
    <s v="TRUE"/>
  </r>
  <r>
    <x v="1"/>
    <s v="153"/>
    <x v="60"/>
    <x v="5"/>
    <e v="#N/A"/>
    <e v="#N/A"/>
    <e v="#N/A"/>
    <e v="#N/A"/>
    <e v="#N/A"/>
    <e v="#N/A"/>
    <s v="Training"/>
    <m/>
    <s v="no technical license protection"/>
    <s v="6400"/>
    <n v="10"/>
    <m/>
    <s v="Calculated"/>
    <s v="FALSE"/>
    <m/>
    <s v="none"/>
    <s v="TRUE"/>
  </r>
  <r>
    <x v="1"/>
    <s v="154"/>
    <x v="61"/>
    <x v="5"/>
    <e v="#N/A"/>
    <e v="#N/A"/>
    <e v="#N/A"/>
    <e v="#N/A"/>
    <e v="#N/A"/>
    <e v="#N/A"/>
    <s v="Product related service without profile"/>
    <m/>
    <s v="no technical license protection"/>
    <s v="6400"/>
    <n v="10"/>
    <m/>
    <s v="Calculated"/>
    <s v="FALSE"/>
    <n v="10"/>
    <s v="none"/>
    <s v="TRUE"/>
  </r>
  <r>
    <x v="1"/>
    <s v="155"/>
    <x v="62"/>
    <x v="5"/>
    <e v="#N/A"/>
    <e v="#N/A"/>
    <e v="#N/A"/>
    <e v="#N/A"/>
    <e v="#N/A"/>
    <e v="#N/A"/>
    <s v="License"/>
    <m/>
    <s v="no technical license protection"/>
    <s v="6400"/>
    <n v="10"/>
    <n v="50"/>
    <s v="Fix rate"/>
    <s v="FALSE"/>
    <m/>
    <s v="UpdateRightByConfiguration"/>
    <s v="TRUE"/>
  </r>
  <r>
    <x v="1"/>
    <s v="156"/>
    <x v="63"/>
    <x v="39"/>
    <e v="#N/A"/>
    <e v="#N/A"/>
    <e v="#N/A"/>
    <e v="#N/A"/>
    <e v="#N/A"/>
    <e v="#N/A"/>
    <s v="License"/>
    <m/>
    <s v="no technical license protection"/>
    <s v="6400"/>
    <n v="10"/>
    <n v="50"/>
    <s v="Fix rate"/>
    <s v="TRUE"/>
    <n v="3"/>
    <s v="UpdateRightByConfiguration"/>
    <s v="TRUE"/>
  </r>
  <r>
    <x v="1"/>
    <s v="157"/>
    <x v="64"/>
    <x v="40"/>
    <e v="#N/A"/>
    <e v="#N/A"/>
    <e v="#N/A"/>
    <e v="#N/A"/>
    <e v="#N/A"/>
    <e v="#N/A"/>
    <s v="License"/>
    <m/>
    <s v="no technical license protection"/>
    <s v="6400"/>
    <n v="10"/>
    <m/>
    <s v="Calculated"/>
    <s v="TRUE"/>
    <m/>
    <s v="UpdateRightByConfiguration"/>
    <s v="TRUE"/>
  </r>
  <r>
    <x v="1"/>
    <s v="158"/>
    <x v="65"/>
    <x v="41"/>
    <e v="#N/A"/>
    <e v="#N/A"/>
    <e v="#N/A"/>
    <e v="#N/A"/>
    <e v="#N/A"/>
    <e v="#N/A"/>
    <s v="License"/>
    <m/>
    <s v="no technical license protection"/>
    <s v="6400"/>
    <n v="10"/>
    <n v="50"/>
    <s v="Fix rate"/>
    <s v="TRUE"/>
    <m/>
    <s v="TotalAmountAsUpdateRight"/>
    <s v="TRUE"/>
  </r>
  <r>
    <x v="1"/>
    <s v="159"/>
    <x v="66"/>
    <x v="42"/>
    <e v="#N/A"/>
    <e v="#N/A"/>
    <e v="#N/A"/>
    <e v="#N/A"/>
    <e v="#N/A"/>
    <e v="#N/A"/>
    <s v="License"/>
    <m/>
    <s v="no technical license protection"/>
    <s v="6400"/>
    <n v="10"/>
    <n v="50"/>
    <s v="Fix rate"/>
    <s v="TRUE"/>
    <m/>
    <s v="TotalAmountAsUpdateRight"/>
    <s v="TRUE"/>
  </r>
  <r>
    <x v="1"/>
    <s v="16"/>
    <x v="67"/>
    <x v="43"/>
    <e v="#N/A"/>
    <e v="#N/A"/>
    <e v="#N/A"/>
    <e v="#N/A"/>
    <e v="#N/A"/>
    <e v="#N/A"/>
    <s v="License"/>
    <m/>
    <s v="EB GUIDE Node-Locked License File"/>
    <s v="6400"/>
    <n v="10"/>
    <n v="50"/>
    <s v="Fix rate"/>
    <s v="TRUE"/>
    <n v="10"/>
    <s v="TotalAmountAsUpdateRight"/>
    <s v="TRUE"/>
  </r>
  <r>
    <x v="1"/>
    <s v="160"/>
    <x v="68"/>
    <x v="44"/>
    <e v="#N/A"/>
    <e v="#N/A"/>
    <e v="#N/A"/>
    <e v="#N/A"/>
    <e v="#N/A"/>
    <e v="#N/A"/>
    <s v="License"/>
    <m/>
    <s v="FlexNet Publisher Dongle License File"/>
    <s v="6400"/>
    <n v="10"/>
    <n v="50"/>
    <s v="Fix rate"/>
    <s v="TRUE"/>
    <m/>
    <s v="UpdateRightByConfiguration"/>
    <s v="TRUE"/>
  </r>
  <r>
    <x v="1"/>
    <s v="161"/>
    <x v="69"/>
    <x v="45"/>
    <e v="#N/A"/>
    <e v="#N/A"/>
    <e v="#N/A"/>
    <e v="#N/A"/>
    <e v="#N/A"/>
    <e v="#N/A"/>
    <s v="License"/>
    <m/>
    <s v="FlexNet Publisher Dongle License File"/>
    <s v="6400"/>
    <n v="10"/>
    <n v="50"/>
    <s v="Fix rate"/>
    <s v="TRUE"/>
    <m/>
    <s v="TotalAmountAsUpdateRight"/>
    <s v="TRUE"/>
  </r>
  <r>
    <x v="1"/>
    <s v="162"/>
    <x v="70"/>
    <x v="44"/>
    <e v="#N/A"/>
    <e v="#N/A"/>
    <e v="#N/A"/>
    <e v="#N/A"/>
    <e v="#N/A"/>
    <e v="#N/A"/>
    <s v="License"/>
    <m/>
    <s v="FlexNet Publisher Application Activation Code"/>
    <s v="6400"/>
    <n v="10"/>
    <n v="50"/>
    <s v="Fix rate"/>
    <s v="TRUE"/>
    <m/>
    <s v="UpdateRightByConfiguration"/>
    <s v="TRUE"/>
  </r>
  <r>
    <x v="1"/>
    <s v="163"/>
    <x v="71"/>
    <x v="45"/>
    <e v="#N/A"/>
    <e v="#N/A"/>
    <e v="#N/A"/>
    <e v="#N/A"/>
    <e v="#N/A"/>
    <e v="#N/A"/>
    <s v="License"/>
    <m/>
    <s v="FlexNet Publisher Application Activation Code"/>
    <s v="6400"/>
    <n v="10"/>
    <n v="50"/>
    <s v="Fix rate"/>
    <s v="TRUE"/>
    <m/>
    <s v="TotalAmountAsUpdateRight"/>
    <s v="TRUE"/>
  </r>
  <r>
    <x v="1"/>
    <s v="164"/>
    <x v="72"/>
    <x v="46"/>
    <e v="#N/A"/>
    <e v="#N/A"/>
    <e v="#N/A"/>
    <e v="#N/A"/>
    <e v="#N/A"/>
    <e v="#N/A"/>
    <s v="License"/>
    <m/>
    <s v="FlexNet Publisher Application Activation Code"/>
    <s v="6400"/>
    <n v="10"/>
    <n v="50"/>
    <s v="Fix rate"/>
    <s v="FALSE"/>
    <m/>
    <s v="none"/>
    <s v="TRUE"/>
  </r>
  <r>
    <x v="1"/>
    <s v="165"/>
    <x v="73"/>
    <x v="5"/>
    <e v="#N/A"/>
    <e v="#N/A"/>
    <e v="#N/A"/>
    <e v="#N/A"/>
    <e v="#N/A"/>
    <e v="#N/A"/>
    <s v="Training"/>
    <m/>
    <s v="no technical license protection"/>
    <s v="6400"/>
    <n v="10"/>
    <m/>
    <s v="Calculated"/>
    <s v="FALSE"/>
    <m/>
    <s v="none"/>
    <s v="TRUE"/>
  </r>
  <r>
    <x v="1"/>
    <s v="166"/>
    <x v="74"/>
    <x v="5"/>
    <e v="#N/A"/>
    <e v="#N/A"/>
    <e v="#N/A"/>
    <e v="#N/A"/>
    <e v="#N/A"/>
    <e v="#N/A"/>
    <s v="Product related service without profile"/>
    <m/>
    <s v="no technical license protection"/>
    <s v="6500"/>
    <n v="10"/>
    <m/>
    <s v="Calculated"/>
    <s v="FALSE"/>
    <m/>
    <s v="none"/>
    <s v="TRUE"/>
  </r>
  <r>
    <x v="1"/>
    <s v="167"/>
    <x v="75"/>
    <x v="47"/>
    <e v="#N/A"/>
    <e v="#N/A"/>
    <e v="#N/A"/>
    <e v="#N/A"/>
    <e v="#N/A"/>
    <e v="#N/A"/>
    <s v="Product related service without profile"/>
    <m/>
    <s v="no technical license protection"/>
    <m/>
    <n v="10"/>
    <m/>
    <s v="Calculated"/>
    <s v="FALSE"/>
    <m/>
    <s v="none"/>
    <s v="TRUE"/>
  </r>
  <r>
    <x v="1"/>
    <s v="168"/>
    <x v="76"/>
    <x v="47"/>
    <e v="#N/A"/>
    <e v="#N/A"/>
    <e v="#N/A"/>
    <e v="#N/A"/>
    <e v="#N/A"/>
    <e v="#N/A"/>
    <s v="Product related service without profile"/>
    <m/>
    <s v="no technical license protection"/>
    <m/>
    <n v="10"/>
    <m/>
    <s v="Calculated"/>
    <s v="FALSE"/>
    <m/>
    <s v="none"/>
    <s v="TRUE"/>
  </r>
  <r>
    <x v="1"/>
    <s v="169"/>
    <x v="77"/>
    <x v="26"/>
    <e v="#N/A"/>
    <e v="#N/A"/>
    <e v="#N/A"/>
    <e v="#N/A"/>
    <e v="#N/A"/>
    <e v="#N/A"/>
    <s v="Product related service without profile"/>
    <m/>
    <s v="no technical license protection"/>
    <m/>
    <n v="10"/>
    <m/>
    <s v="Calculated"/>
    <s v="FALSE"/>
    <m/>
    <s v="none"/>
    <s v="TRUE"/>
  </r>
  <r>
    <x v="1"/>
    <s v="17"/>
    <x v="78"/>
    <x v="48"/>
    <e v="#N/A"/>
    <e v="#N/A"/>
    <e v="#N/A"/>
    <e v="#N/A"/>
    <e v="#N/A"/>
    <e v="#N/A"/>
    <s v="License"/>
    <m/>
    <s v="no technical license protection"/>
    <s v="6400"/>
    <n v="10"/>
    <n v="50"/>
    <s v="Fix rate"/>
    <s v="TRUE"/>
    <m/>
    <s v="TotalAmountAsUpdateRight"/>
    <s v="TRUE"/>
  </r>
  <r>
    <x v="1"/>
    <s v="170"/>
    <x v="79"/>
    <x v="5"/>
    <e v="#N/A"/>
    <e v="#N/A"/>
    <e v="#N/A"/>
    <e v="#N/A"/>
    <e v="#N/A"/>
    <e v="#N/A"/>
    <s v="Product related service without profile"/>
    <m/>
    <s v="no technical license protection"/>
    <m/>
    <n v="10"/>
    <m/>
    <s v="Calculated"/>
    <s v="FALSE"/>
    <m/>
    <s v="none"/>
    <s v="TRUE"/>
  </r>
  <r>
    <x v="1"/>
    <s v="171"/>
    <x v="80"/>
    <x v="5"/>
    <e v="#N/A"/>
    <e v="#N/A"/>
    <e v="#N/A"/>
    <e v="#N/A"/>
    <e v="#N/A"/>
    <e v="#N/A"/>
    <s v="Product related service without profile"/>
    <m/>
    <s v="no technical license protection"/>
    <m/>
    <n v="10"/>
    <m/>
    <s v="Calculated"/>
    <s v="FALSE"/>
    <m/>
    <s v="none"/>
    <s v="TRUE"/>
  </r>
  <r>
    <x v="1"/>
    <s v="172"/>
    <x v="81"/>
    <x v="49"/>
    <e v="#N/A"/>
    <e v="#N/A"/>
    <e v="#N/A"/>
    <e v="#N/A"/>
    <e v="#N/A"/>
    <e v="#N/A"/>
    <s v="Qualification Package"/>
    <m/>
    <s v="no technical license protection"/>
    <m/>
    <n v="10"/>
    <n v="50"/>
    <s v="Fix rate"/>
    <s v="FALSE"/>
    <m/>
    <s v="none"/>
    <s v="TRUE"/>
  </r>
  <r>
    <x v="1"/>
    <s v="173"/>
    <x v="82"/>
    <x v="50"/>
    <e v="#N/A"/>
    <e v="#N/A"/>
    <e v="#N/A"/>
    <e v="#N/A"/>
    <e v="#N/A"/>
    <e v="#N/A"/>
    <s v="License"/>
    <m/>
    <s v="no technical license protection"/>
    <m/>
    <n v="10"/>
    <n v="50"/>
    <s v="Fix rate"/>
    <s v="FALSE"/>
    <m/>
    <s v="none"/>
    <s v="TRUE"/>
  </r>
  <r>
    <x v="1"/>
    <s v="174"/>
    <x v="83"/>
    <x v="51"/>
    <e v="#N/A"/>
    <e v="#N/A"/>
    <e v="#N/A"/>
    <e v="#N/A"/>
    <e v="#N/A"/>
    <e v="#N/A"/>
    <s v="License"/>
    <m/>
    <s v="no technical license protection"/>
    <m/>
    <n v="10"/>
    <n v="50"/>
    <s v="Fix rate"/>
    <s v="FALSE"/>
    <m/>
    <s v="none"/>
    <s v="TRUE"/>
  </r>
  <r>
    <x v="1"/>
    <s v="175"/>
    <x v="84"/>
    <x v="5"/>
    <e v="#N/A"/>
    <e v="#N/A"/>
    <e v="#N/A"/>
    <e v="#N/A"/>
    <e v="#N/A"/>
    <e v="#N/A"/>
    <s v="Product related service without profile"/>
    <m/>
    <s v="no technical license protection"/>
    <m/>
    <n v="10"/>
    <m/>
    <s v="Calculated"/>
    <s v="FALSE"/>
    <m/>
    <s v="none"/>
    <s v="TRUE"/>
  </r>
  <r>
    <x v="1"/>
    <s v="176"/>
    <x v="85"/>
    <x v="52"/>
    <e v="#N/A"/>
    <e v="#N/A"/>
    <e v="#N/A"/>
    <e v="#N/A"/>
    <e v="#N/A"/>
    <e v="#N/A"/>
    <s v="License"/>
    <m/>
    <s v="ADTF Node-Locked License File"/>
    <s v="6400"/>
    <n v="10"/>
    <m/>
    <s v="Calculated"/>
    <s v="TRUE"/>
    <m/>
    <s v="UpdateRightByConfiguration"/>
    <s v="TRUE"/>
  </r>
  <r>
    <x v="1"/>
    <s v="177"/>
    <x v="86"/>
    <x v="53"/>
    <e v="#N/A"/>
    <e v="#N/A"/>
    <e v="#N/A"/>
    <e v="#N/A"/>
    <e v="#N/A"/>
    <e v="#N/A"/>
    <s v="Qualification Package"/>
    <m/>
    <s v="no technical license protection"/>
    <m/>
    <n v="10"/>
    <n v="50"/>
    <s v="Fix rate"/>
    <s v="FALSE"/>
    <m/>
    <s v="none"/>
    <s v="TRUE"/>
  </r>
  <r>
    <x v="1"/>
    <s v="178"/>
    <x v="87"/>
    <x v="54"/>
    <e v="#N/A"/>
    <e v="#N/A"/>
    <e v="#N/A"/>
    <e v="#N/A"/>
    <e v="#N/A"/>
    <e v="#N/A"/>
    <s v="Qualification Package"/>
    <m/>
    <s v="no technical license protection"/>
    <m/>
    <n v="10"/>
    <n v="50"/>
    <s v="Fix rate"/>
    <s v="FALSE"/>
    <m/>
    <s v="none"/>
    <s v="TRUE"/>
  </r>
  <r>
    <x v="1"/>
    <s v="179"/>
    <x v="88"/>
    <x v="55"/>
    <e v="#N/A"/>
    <e v="#N/A"/>
    <e v="#N/A"/>
    <e v="#N/A"/>
    <e v="#N/A"/>
    <e v="#N/A"/>
    <s v="Qualification Package"/>
    <m/>
    <s v="no technical license protection"/>
    <m/>
    <n v="10"/>
    <n v="50"/>
    <s v="Fix rate"/>
    <s v="FALSE"/>
    <m/>
    <s v="none"/>
    <s v="TRUE"/>
  </r>
  <r>
    <x v="1"/>
    <s v="18"/>
    <x v="89"/>
    <x v="56"/>
    <e v="#N/A"/>
    <e v="#N/A"/>
    <e v="#N/A"/>
    <e v="#N/A"/>
    <e v="#N/A"/>
    <e v="#N/A"/>
    <s v="License"/>
    <m/>
    <s v="no technical license protection"/>
    <m/>
    <n v="10"/>
    <n v="50"/>
    <s v="Fix rate"/>
    <s v="FALSE"/>
    <m/>
    <s v="none"/>
    <s v="TRUE"/>
  </r>
  <r>
    <x v="1"/>
    <s v="180"/>
    <x v="90"/>
    <x v="57"/>
    <e v="#N/A"/>
    <e v="#N/A"/>
    <e v="#N/A"/>
    <e v="#N/A"/>
    <e v="#N/A"/>
    <e v="#N/A"/>
    <s v="Qualification Package"/>
    <m/>
    <s v="no technical license protection"/>
    <m/>
    <n v="10"/>
    <n v="50"/>
    <s v="Fix rate"/>
    <s v="FALSE"/>
    <m/>
    <s v="none"/>
    <s v="TRUE"/>
  </r>
  <r>
    <x v="1"/>
    <s v="181"/>
    <x v="91"/>
    <x v="58"/>
    <e v="#N/A"/>
    <e v="#N/A"/>
    <e v="#N/A"/>
    <e v="#N/A"/>
    <e v="#N/A"/>
    <e v="#N/A"/>
    <s v="Qualification Package"/>
    <m/>
    <s v="no technical license protection"/>
    <m/>
    <n v="10"/>
    <n v="50"/>
    <s v="Fix rate"/>
    <s v="FALSE"/>
    <m/>
    <s v="none"/>
    <s v="TRUE"/>
  </r>
  <r>
    <x v="1"/>
    <s v="182"/>
    <x v="92"/>
    <x v="5"/>
    <e v="#N/A"/>
    <e v="#N/A"/>
    <e v="#N/A"/>
    <e v="#N/A"/>
    <e v="#N/A"/>
    <e v="#N/A"/>
    <s v="Qualification Package"/>
    <m/>
    <s v="no technical license protection"/>
    <m/>
    <n v="10"/>
    <n v="50"/>
    <s v="Fix rate"/>
    <s v="FALSE"/>
    <m/>
    <s v="none"/>
    <s v="TRUE"/>
  </r>
  <r>
    <x v="1"/>
    <s v="183"/>
    <x v="93"/>
    <x v="5"/>
    <e v="#N/A"/>
    <e v="#N/A"/>
    <e v="#N/A"/>
    <e v="#N/A"/>
    <e v="#N/A"/>
    <e v="#N/A"/>
    <s v="Qualification Package"/>
    <m/>
    <s v="no technical license protection"/>
    <m/>
    <n v="10"/>
    <n v="50"/>
    <s v="Fix rate"/>
    <s v="FALSE"/>
    <m/>
    <s v="none"/>
    <s v="TRUE"/>
  </r>
  <r>
    <x v="1"/>
    <s v="184"/>
    <x v="94"/>
    <x v="5"/>
    <e v="#N/A"/>
    <e v="#N/A"/>
    <e v="#N/A"/>
    <e v="#N/A"/>
    <e v="#N/A"/>
    <e v="#N/A"/>
    <s v="Qualification Package"/>
    <m/>
    <s v="no technical license protection"/>
    <m/>
    <n v="10"/>
    <n v="50"/>
    <s v="Fix rate"/>
    <s v="FALSE"/>
    <m/>
    <s v="none"/>
    <s v="TRUE"/>
  </r>
  <r>
    <x v="1"/>
    <s v="185"/>
    <x v="95"/>
    <x v="5"/>
    <e v="#N/A"/>
    <e v="#N/A"/>
    <e v="#N/A"/>
    <e v="#N/A"/>
    <e v="#N/A"/>
    <e v="#N/A"/>
    <s v="Qualification Package"/>
    <m/>
    <s v="no technical license protection"/>
    <m/>
    <n v="10"/>
    <n v="50"/>
    <s v="Fix rate"/>
    <s v="FALSE"/>
    <m/>
    <s v="none"/>
    <s v="TRUE"/>
  </r>
  <r>
    <x v="1"/>
    <s v="186"/>
    <x v="96"/>
    <x v="5"/>
    <e v="#N/A"/>
    <e v="#N/A"/>
    <e v="#N/A"/>
    <e v="#N/A"/>
    <e v="#N/A"/>
    <e v="#N/A"/>
    <s v="Qualification Package"/>
    <m/>
    <s v="no technical license protection"/>
    <m/>
    <n v="10"/>
    <n v="50"/>
    <s v="Fix rate"/>
    <s v="FALSE"/>
    <m/>
    <s v="none"/>
    <s v="TRUE"/>
  </r>
  <r>
    <x v="1"/>
    <s v="187"/>
    <x v="97"/>
    <x v="5"/>
    <e v="#N/A"/>
    <e v="#N/A"/>
    <e v="#N/A"/>
    <e v="#N/A"/>
    <e v="#N/A"/>
    <e v="#N/A"/>
    <s v="Product related service without profile"/>
    <m/>
    <s v="no technical license protection"/>
    <m/>
    <n v="10"/>
    <m/>
    <s v="Calculated"/>
    <s v="FALSE"/>
    <m/>
    <s v="none"/>
    <s v="TRUE"/>
  </r>
  <r>
    <x v="1"/>
    <s v="188"/>
    <x v="98"/>
    <x v="5"/>
    <e v="#N/A"/>
    <e v="#N/A"/>
    <e v="#N/A"/>
    <e v="#N/A"/>
    <e v="#N/A"/>
    <e v="#N/A"/>
    <s v="Qualification Package"/>
    <m/>
    <s v="no technical license protection"/>
    <m/>
    <n v="10"/>
    <n v="50"/>
    <s v="Fix rate"/>
    <s v="FALSE"/>
    <m/>
    <s v="none"/>
    <s v="TRUE"/>
  </r>
  <r>
    <x v="1"/>
    <s v="189"/>
    <x v="99"/>
    <x v="5"/>
    <e v="#N/A"/>
    <e v="#N/A"/>
    <e v="#N/A"/>
    <e v="#N/A"/>
    <e v="#N/A"/>
    <e v="#N/A"/>
    <s v="Qualification Package"/>
    <m/>
    <s v="no technical license protection"/>
    <m/>
    <n v="10"/>
    <n v="50"/>
    <s v="Fix rate"/>
    <s v="FALSE"/>
    <m/>
    <s v="none"/>
    <s v="TRUE"/>
  </r>
  <r>
    <x v="1"/>
    <s v="19"/>
    <x v="100"/>
    <x v="59"/>
    <e v="#N/A"/>
    <e v="#N/A"/>
    <e v="#N/A"/>
    <e v="#N/A"/>
    <e v="#N/A"/>
    <e v="#N/A"/>
    <s v="License"/>
    <m/>
    <s v="no technical license protection"/>
    <m/>
    <n v="10"/>
    <n v="50"/>
    <s v="Fix rate"/>
    <s v="FALSE"/>
    <m/>
    <s v="none"/>
    <s v="TRUE"/>
  </r>
  <r>
    <x v="1"/>
    <s v="190"/>
    <x v="101"/>
    <x v="5"/>
    <e v="#N/A"/>
    <e v="#N/A"/>
    <e v="#N/A"/>
    <e v="#N/A"/>
    <e v="#N/A"/>
    <e v="#N/A"/>
    <s v="License"/>
    <m/>
    <s v="no technical license protection"/>
    <m/>
    <n v="10"/>
    <n v="50"/>
    <s v="Fix rate"/>
    <s v="FALSE"/>
    <m/>
    <s v="none"/>
    <s v="TRUE"/>
  </r>
  <r>
    <x v="1"/>
    <s v="191"/>
    <x v="102"/>
    <x v="5"/>
    <e v="#N/A"/>
    <e v="#N/A"/>
    <e v="#N/A"/>
    <e v="#N/A"/>
    <e v="#N/A"/>
    <e v="#N/A"/>
    <s v="License"/>
    <m/>
    <s v="no technical license protection"/>
    <m/>
    <n v="10"/>
    <n v="50"/>
    <s v="Fix rate"/>
    <s v="FALSE"/>
    <m/>
    <s v="none"/>
    <s v="TRUE"/>
  </r>
  <r>
    <x v="1"/>
    <s v="192"/>
    <x v="103"/>
    <x v="5"/>
    <e v="#N/A"/>
    <e v="#N/A"/>
    <e v="#N/A"/>
    <e v="#N/A"/>
    <e v="#N/A"/>
    <e v="#N/A"/>
    <s v="License"/>
    <m/>
    <s v="no technical license protection"/>
    <m/>
    <n v="10"/>
    <n v="50"/>
    <s v="Fix rate"/>
    <s v="FALSE"/>
    <m/>
    <s v="none"/>
    <s v="TRUE"/>
  </r>
  <r>
    <x v="1"/>
    <s v="193"/>
    <x v="104"/>
    <x v="5"/>
    <e v="#N/A"/>
    <e v="#N/A"/>
    <e v="#N/A"/>
    <e v="#N/A"/>
    <e v="#N/A"/>
    <e v="#N/A"/>
    <s v="License"/>
    <m/>
    <s v="no technical license protection"/>
    <m/>
    <n v="10"/>
    <n v="50"/>
    <s v="Fix rate"/>
    <s v="FALSE"/>
    <m/>
    <s v="none"/>
    <s v="TRUE"/>
  </r>
  <r>
    <x v="1"/>
    <s v="194"/>
    <x v="105"/>
    <x v="4"/>
    <e v="#N/A"/>
    <e v="#N/A"/>
    <e v="#N/A"/>
    <e v="#N/A"/>
    <e v="#N/A"/>
    <e v="#N/A"/>
    <s v="Product related service without profile"/>
    <m/>
    <s v="no technical license protection"/>
    <m/>
    <n v="10"/>
    <m/>
    <s v="Calculated"/>
    <s v="FALSE"/>
    <m/>
    <s v="none"/>
    <s v="TRUE"/>
  </r>
  <r>
    <x v="1"/>
    <s v="195"/>
    <x v="106"/>
    <x v="5"/>
    <e v="#N/A"/>
    <e v="#N/A"/>
    <e v="#N/A"/>
    <e v="#N/A"/>
    <e v="#N/A"/>
    <e v="#N/A"/>
    <s v="License"/>
    <m/>
    <s v="no technical license protection"/>
    <m/>
    <n v="10"/>
    <n v="50"/>
    <s v="Fix rate"/>
    <s v="FALSE"/>
    <m/>
    <s v="none"/>
    <s v="TRUE"/>
  </r>
  <r>
    <x v="1"/>
    <s v="196"/>
    <x v="107"/>
    <x v="5"/>
    <e v="#N/A"/>
    <e v="#N/A"/>
    <e v="#N/A"/>
    <e v="#N/A"/>
    <e v="#N/A"/>
    <e v="#N/A"/>
    <s v="Product related service without profile"/>
    <m/>
    <s v="no technical license protection"/>
    <m/>
    <n v="10"/>
    <m/>
    <s v="Calculated"/>
    <s v="FALSE"/>
    <m/>
    <s v="none"/>
    <s v="TRUE"/>
  </r>
  <r>
    <x v="1"/>
    <s v="197"/>
    <x v="108"/>
    <x v="34"/>
    <e v="#N/A"/>
    <e v="#N/A"/>
    <e v="#N/A"/>
    <e v="#N/A"/>
    <e v="#N/A"/>
    <e v="#N/A"/>
    <s v="License"/>
    <m/>
    <s v="no technical license protection"/>
    <m/>
    <n v="10"/>
    <n v="50"/>
    <s v="Fix rate"/>
    <s v="FALSE"/>
    <m/>
    <s v="none"/>
    <s v="TRUE"/>
  </r>
  <r>
    <x v="1"/>
    <s v="198"/>
    <x v="109"/>
    <x v="22"/>
    <e v="#N/A"/>
    <e v="#N/A"/>
    <e v="#N/A"/>
    <e v="#N/A"/>
    <e v="#N/A"/>
    <e v="#N/A"/>
    <s v="License"/>
    <m/>
    <s v="no technical license protection"/>
    <m/>
    <n v="10"/>
    <n v="50"/>
    <s v="Fix rate"/>
    <s v="FALSE"/>
    <m/>
    <s v="none"/>
    <s v="TRUE"/>
  </r>
  <r>
    <x v="1"/>
    <s v="199"/>
    <x v="110"/>
    <x v="60"/>
    <e v="#N/A"/>
    <e v="#N/A"/>
    <e v="#N/A"/>
    <e v="#N/A"/>
    <e v="#N/A"/>
    <e v="#N/A"/>
    <s v="License"/>
    <m/>
    <s v="no technical license protection"/>
    <m/>
    <n v="10"/>
    <n v="50"/>
    <s v="Fix rate"/>
    <s v="FALSE"/>
    <m/>
    <s v="none"/>
    <s v="TRUE"/>
  </r>
  <r>
    <x v="0"/>
    <s v="2"/>
    <x v="111"/>
    <x v="61"/>
    <s v="perpetual"/>
    <s v="12 months"/>
    <s v="FINALIZED PURCHASE PROCESS + 2 weeks"/>
    <s v="One-time payment"/>
    <s v="With FINAL DELIVERY"/>
    <s v="Elektrobit Tooling Licence"/>
    <s v="License"/>
    <m/>
    <s v="FlexNet Publisher Server Activation Code"/>
    <s v="6400"/>
    <n v="10"/>
    <n v="50"/>
    <s v="Fix rate"/>
    <s v="TRUE"/>
    <m/>
    <s v="UpdateRightByConfiguration"/>
    <s v="TRUE"/>
  </r>
  <r>
    <x v="0"/>
    <s v="20"/>
    <x v="112"/>
    <x v="62"/>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200"/>
    <x v="113"/>
    <x v="63"/>
    <e v="#N/A"/>
    <e v="#N/A"/>
    <e v="#N/A"/>
    <e v="#N/A"/>
    <e v="#N/A"/>
    <e v="#N/A"/>
    <s v="License"/>
    <m/>
    <s v="no technical license protection"/>
    <m/>
    <n v="10"/>
    <n v="50"/>
    <s v="Fix rate"/>
    <s v="FALSE"/>
    <m/>
    <s v="none"/>
    <s v="TRUE"/>
  </r>
  <r>
    <x v="1"/>
    <s v="201"/>
    <x v="114"/>
    <x v="64"/>
    <e v="#N/A"/>
    <e v="#N/A"/>
    <e v="#N/A"/>
    <e v="#N/A"/>
    <e v="#N/A"/>
    <e v="#N/A"/>
    <s v="License"/>
    <m/>
    <s v="no technical license protection"/>
    <m/>
    <n v="10"/>
    <n v="50"/>
    <s v="Fix rate"/>
    <s v="FALSE"/>
    <m/>
    <s v="none"/>
    <s v="TRUE"/>
  </r>
  <r>
    <x v="1"/>
    <s v="202"/>
    <x v="115"/>
    <x v="65"/>
    <e v="#N/A"/>
    <e v="#N/A"/>
    <e v="#N/A"/>
    <e v="#N/A"/>
    <e v="#N/A"/>
    <e v="#N/A"/>
    <s v="License"/>
    <m/>
    <s v="no technical license protection"/>
    <m/>
    <n v="10"/>
    <n v="50"/>
    <s v="Fix rate"/>
    <s v="FALSE"/>
    <m/>
    <s v="none"/>
    <s v="TRUE"/>
  </r>
  <r>
    <x v="1"/>
    <s v="203"/>
    <x v="116"/>
    <x v="65"/>
    <e v="#N/A"/>
    <e v="#N/A"/>
    <e v="#N/A"/>
    <e v="#N/A"/>
    <e v="#N/A"/>
    <e v="#N/A"/>
    <s v="License"/>
    <m/>
    <s v="no technical license protection"/>
    <m/>
    <n v="10"/>
    <n v="50"/>
    <s v="Fix rate"/>
    <s v="FALSE"/>
    <m/>
    <s v="none"/>
    <s v="TRUE"/>
  </r>
  <r>
    <x v="1"/>
    <s v="204"/>
    <x v="117"/>
    <x v="66"/>
    <e v="#N/A"/>
    <e v="#N/A"/>
    <e v="#N/A"/>
    <e v="#N/A"/>
    <e v="#N/A"/>
    <e v="#N/A"/>
    <s v="License"/>
    <m/>
    <s v="no technical license protection"/>
    <m/>
    <n v="10"/>
    <n v="50"/>
    <s v="Fix rate"/>
    <s v="FALSE"/>
    <m/>
    <s v="none"/>
    <s v="TRUE"/>
  </r>
  <r>
    <x v="1"/>
    <s v="205"/>
    <x v="118"/>
    <x v="67"/>
    <e v="#N/A"/>
    <e v="#N/A"/>
    <e v="#N/A"/>
    <e v="#N/A"/>
    <e v="#N/A"/>
    <e v="#N/A"/>
    <s v="License"/>
    <m/>
    <s v="no technical license protection"/>
    <m/>
    <n v="10"/>
    <n v="50"/>
    <s v="Fix rate"/>
    <s v="FALSE"/>
    <m/>
    <s v="none"/>
    <s v="TRUE"/>
  </r>
  <r>
    <x v="1"/>
    <s v="206"/>
    <x v="119"/>
    <x v="68"/>
    <e v="#N/A"/>
    <e v="#N/A"/>
    <e v="#N/A"/>
    <e v="#N/A"/>
    <e v="#N/A"/>
    <e v="#N/A"/>
    <s v="License"/>
    <m/>
    <s v="no technical license protection"/>
    <s v="6400"/>
    <n v="10"/>
    <n v="50"/>
    <s v="Fix rate"/>
    <s v="TRUE"/>
    <m/>
    <s v="none"/>
    <s v="TRUE"/>
  </r>
  <r>
    <x v="1"/>
    <s v="207"/>
    <x v="120"/>
    <x v="67"/>
    <e v="#N/A"/>
    <e v="#N/A"/>
    <e v="#N/A"/>
    <e v="#N/A"/>
    <e v="#N/A"/>
    <e v="#N/A"/>
    <s v="License"/>
    <m/>
    <s v="no technical license protection"/>
    <m/>
    <n v="10"/>
    <n v="50"/>
    <s v="Fix rate"/>
    <s v="FALSE"/>
    <m/>
    <s v="none"/>
    <s v="TRUE"/>
  </r>
  <r>
    <x v="1"/>
    <s v="208"/>
    <x v="121"/>
    <x v="69"/>
    <e v="#N/A"/>
    <e v="#N/A"/>
    <e v="#N/A"/>
    <e v="#N/A"/>
    <e v="#N/A"/>
    <e v="#N/A"/>
    <s v="License"/>
    <m/>
    <s v="no technical license protection"/>
    <s v="6400"/>
    <n v="10"/>
    <n v="50"/>
    <s v="Fix rate"/>
    <s v="TRUE"/>
    <m/>
    <s v="none"/>
    <s v="TRUE"/>
  </r>
  <r>
    <x v="1"/>
    <s v="209"/>
    <x v="122"/>
    <x v="67"/>
    <e v="#N/A"/>
    <e v="#N/A"/>
    <e v="#N/A"/>
    <e v="#N/A"/>
    <e v="#N/A"/>
    <e v="#N/A"/>
    <s v="License"/>
    <m/>
    <s v="no technical license protection"/>
    <m/>
    <n v="10"/>
    <n v="50"/>
    <s v="Fix rate"/>
    <s v="FALSE"/>
    <m/>
    <s v="none"/>
    <s v="TRUE"/>
  </r>
  <r>
    <x v="0"/>
    <s v="21"/>
    <x v="123"/>
    <x v="70"/>
    <s v="n/a"/>
    <s v="12 months"/>
    <s v="n/a"/>
    <s v="Annual payment"/>
    <s v="Anually at the beginning of the extended period"/>
    <s v="n/a"/>
    <s v="License"/>
    <m/>
    <s v="no technical license protection"/>
    <s v="6400"/>
    <n v="10"/>
    <n v="50"/>
    <s v="Fix rate"/>
    <s v="FALSE"/>
    <m/>
    <s v="TotalAmountAsUpdateRight"/>
    <s v="TRUE"/>
  </r>
  <r>
    <x v="1"/>
    <s v="210"/>
    <x v="124"/>
    <x v="71"/>
    <e v="#N/A"/>
    <e v="#N/A"/>
    <e v="#N/A"/>
    <e v="#N/A"/>
    <e v="#N/A"/>
    <e v="#N/A"/>
    <s v="License"/>
    <m/>
    <s v="no technical license protection"/>
    <s v="6400"/>
    <n v="10"/>
    <m/>
    <s v="Calculated"/>
    <s v="FALSE"/>
    <m/>
    <s v="none"/>
    <s v="TRUE"/>
  </r>
  <r>
    <x v="1"/>
    <s v="211"/>
    <x v="125"/>
    <x v="72"/>
    <e v="#N/A"/>
    <e v="#N/A"/>
    <e v="#N/A"/>
    <e v="#N/A"/>
    <e v="#N/A"/>
    <e v="#N/A"/>
    <s v="License"/>
    <m/>
    <s v="no technical license protection"/>
    <s v="6400"/>
    <n v="10"/>
    <n v="50"/>
    <s v="Fix rate"/>
    <s v="FALSE"/>
    <m/>
    <s v="none"/>
    <s v="TRUE"/>
  </r>
  <r>
    <x v="1"/>
    <s v="212"/>
    <x v="126"/>
    <x v="73"/>
    <e v="#N/A"/>
    <e v="#N/A"/>
    <e v="#N/A"/>
    <e v="#N/A"/>
    <e v="#N/A"/>
    <e v="#N/A"/>
    <s v="License"/>
    <m/>
    <s v="no technical license protection"/>
    <s v="6400"/>
    <n v="10"/>
    <n v="50"/>
    <s v="Fix rate"/>
    <s v="FALSE"/>
    <m/>
    <s v="none"/>
    <s v="TRUE"/>
  </r>
  <r>
    <x v="0"/>
    <s v="213"/>
    <x v="127"/>
    <x v="74"/>
    <s v="18 months"/>
    <s v="n/a"/>
    <s v="FINALIZED PURCHASE PROCESS + 2 weeks"/>
    <s v="One-time payment"/>
    <s v="With FINAL DELIVERY"/>
    <s v="n/a"/>
    <s v="License"/>
    <m/>
    <s v="no technical license protection"/>
    <s v="6400"/>
    <n v="10"/>
    <m/>
    <s v="Calculated"/>
    <s v="FALSE"/>
    <m/>
    <s v="none"/>
    <s v="TRUE"/>
  </r>
  <r>
    <x v="1"/>
    <s v="214"/>
    <x v="128"/>
    <x v="75"/>
    <e v="#N/A"/>
    <e v="#N/A"/>
    <e v="#N/A"/>
    <e v="#N/A"/>
    <e v="#N/A"/>
    <e v="#N/A"/>
    <s v="License"/>
    <m/>
    <s v="no technical license protection"/>
    <s v="6400"/>
    <n v="10"/>
    <n v="50"/>
    <s v="Fix rate"/>
    <s v="TRUE"/>
    <m/>
    <s v="none"/>
    <s v="TRUE"/>
  </r>
  <r>
    <x v="0"/>
    <s v="215"/>
    <x v="129"/>
    <x v="76"/>
    <s v="perpetual"/>
    <s v="n/a"/>
    <s v="FINALIZED PURCHASE PROCESS + 2 weeks"/>
    <s v="One-time payment"/>
    <s v="With FINAL DELIVERY"/>
    <s v="n/a"/>
    <s v="License"/>
    <m/>
    <s v="no technical license protection"/>
    <s v="6400"/>
    <n v="10"/>
    <m/>
    <s v="Calculated"/>
    <s v="TRUE"/>
    <m/>
    <s v="none"/>
    <s v="TRUE"/>
  </r>
  <r>
    <x v="0"/>
    <s v="216"/>
    <x v="130"/>
    <x v="77"/>
    <s v="n/a"/>
    <s v="12 months"/>
    <s v="n/a"/>
    <s v="Annual payment"/>
    <s v="Anually at the beginning of the extended period"/>
    <s v="n/a"/>
    <s v="License"/>
    <m/>
    <s v="no technical license protection"/>
    <s v="6400"/>
    <n v="10"/>
    <m/>
    <s v="Calculated"/>
    <s v="FALSE"/>
    <n v="15"/>
    <s v="TotalAmountAsUpdateRight"/>
    <s v="TRUE"/>
  </r>
  <r>
    <x v="1"/>
    <s v="217"/>
    <x v="131"/>
    <x v="78"/>
    <e v="#N/A"/>
    <e v="#N/A"/>
    <e v="#N/A"/>
    <e v="#N/A"/>
    <e v="#N/A"/>
    <e v="#N/A"/>
    <s v="License"/>
    <m/>
    <s v="EB GUIDE Floating License File"/>
    <s v="6400"/>
    <n v="10"/>
    <n v="50"/>
    <s v="Fix rate"/>
    <s v="TRUE"/>
    <n v="10"/>
    <s v="UpdateRightByConfiguration"/>
    <s v="TRUE"/>
  </r>
  <r>
    <x v="1"/>
    <s v="218"/>
    <x v="132"/>
    <x v="79"/>
    <e v="#N/A"/>
    <e v="#N/A"/>
    <e v="#N/A"/>
    <e v="#N/A"/>
    <e v="#N/A"/>
    <e v="#N/A"/>
    <s v="License"/>
    <m/>
    <s v="EB GUIDE Node-Locked License File"/>
    <s v="6400"/>
    <n v="10"/>
    <n v="50"/>
    <s v="Fix rate"/>
    <s v="TRUE"/>
    <n v="10"/>
    <s v="UpdateRightByConfiguration"/>
    <s v="TRUE"/>
  </r>
  <r>
    <x v="1"/>
    <s v="219"/>
    <x v="133"/>
    <x v="80"/>
    <e v="#N/A"/>
    <e v="#N/A"/>
    <e v="#N/A"/>
    <e v="#N/A"/>
    <e v="#N/A"/>
    <e v="#N/A"/>
    <s v="License"/>
    <m/>
    <s v="EB GUIDE Node-Locked License File"/>
    <s v="6400"/>
    <n v="10"/>
    <n v="50"/>
    <s v="Fix rate"/>
    <s v="TRUE"/>
    <m/>
    <s v="none"/>
    <s v="TRUE"/>
  </r>
  <r>
    <x v="1"/>
    <s v="22"/>
    <x v="134"/>
    <x v="81"/>
    <e v="#N/A"/>
    <e v="#N/A"/>
    <e v="#N/A"/>
    <e v="#N/A"/>
    <e v="#N/A"/>
    <e v="#N/A"/>
    <s v="License"/>
    <m/>
    <s v="no technical license protection"/>
    <m/>
    <n v="10"/>
    <n v="50"/>
    <s v="Fix rate"/>
    <s v="FALSE"/>
    <m/>
    <s v="none"/>
    <s v="TRUE"/>
  </r>
  <r>
    <x v="1"/>
    <s v="220"/>
    <x v="135"/>
    <x v="82"/>
    <e v="#N/A"/>
    <e v="#N/A"/>
    <e v="#N/A"/>
    <e v="#N/A"/>
    <e v="#N/A"/>
    <e v="#N/A"/>
    <s v="License"/>
    <m/>
    <s v="EB GUIDE Dongle License File"/>
    <s v="6400"/>
    <n v="10"/>
    <n v="50"/>
    <s v="Fix rate"/>
    <s v="TRUE"/>
    <m/>
    <s v="none"/>
    <s v="TRUE"/>
  </r>
  <r>
    <x v="1"/>
    <s v="221"/>
    <x v="136"/>
    <x v="83"/>
    <e v="#N/A"/>
    <e v="#N/A"/>
    <e v="#N/A"/>
    <e v="#N/A"/>
    <e v="#N/A"/>
    <e v="#N/A"/>
    <s v="License"/>
    <m/>
    <s v="EB GUIDE Dongle License File"/>
    <s v="6400"/>
    <n v="10"/>
    <n v="50"/>
    <s v="Fix rate"/>
    <s v="TRUE"/>
    <n v="10"/>
    <s v="TotalAmountAsUpdateRight"/>
    <s v="TRUE"/>
  </r>
  <r>
    <x v="1"/>
    <s v="222"/>
    <x v="137"/>
    <x v="82"/>
    <e v="#N/A"/>
    <e v="#N/A"/>
    <e v="#N/A"/>
    <e v="#N/A"/>
    <e v="#N/A"/>
    <e v="#N/A"/>
    <s v="License"/>
    <m/>
    <s v="EB GUIDE Floating License File"/>
    <s v="6400"/>
    <n v="10"/>
    <n v="50"/>
    <s v="Fix rate"/>
    <s v="TRUE"/>
    <m/>
    <s v="none"/>
    <s v="TRUE"/>
  </r>
  <r>
    <x v="1"/>
    <s v="223"/>
    <x v="138"/>
    <x v="83"/>
    <e v="#N/A"/>
    <e v="#N/A"/>
    <e v="#N/A"/>
    <e v="#N/A"/>
    <e v="#N/A"/>
    <e v="#N/A"/>
    <s v="License"/>
    <m/>
    <s v="EB GUIDE Floating License File"/>
    <s v="6400"/>
    <n v="10"/>
    <n v="50"/>
    <s v="Fix rate"/>
    <s v="TRUE"/>
    <n v="10"/>
    <s v="TotalAmountAsUpdateRight"/>
    <s v="TRUE"/>
  </r>
  <r>
    <x v="1"/>
    <s v="224"/>
    <x v="139"/>
    <x v="84"/>
    <e v="#N/A"/>
    <e v="#N/A"/>
    <e v="#N/A"/>
    <e v="#N/A"/>
    <e v="#N/A"/>
    <e v="#N/A"/>
    <s v="License"/>
    <m/>
    <s v="EB GUIDE Node-Locked License File"/>
    <s v="6400"/>
    <n v="10"/>
    <n v="50"/>
    <s v="Fix rate"/>
    <s v="FALSE"/>
    <m/>
    <s v="UpdateRightByConfiguration"/>
    <s v="TRUE"/>
  </r>
  <r>
    <x v="1"/>
    <s v="225"/>
    <x v="140"/>
    <x v="85"/>
    <e v="#N/A"/>
    <e v="#N/A"/>
    <e v="#N/A"/>
    <e v="#N/A"/>
    <e v="#N/A"/>
    <e v="#N/A"/>
    <s v="License"/>
    <m/>
    <s v="EB GUIDE Dongle License File"/>
    <s v="6400"/>
    <n v="10"/>
    <n v="50"/>
    <s v="Fix rate"/>
    <s v="FALSE"/>
    <m/>
    <s v="UpdateRightByConfiguration"/>
    <s v="TRUE"/>
  </r>
  <r>
    <x v="1"/>
    <s v="226"/>
    <x v="141"/>
    <x v="86"/>
    <e v="#N/A"/>
    <e v="#N/A"/>
    <e v="#N/A"/>
    <e v="#N/A"/>
    <e v="#N/A"/>
    <e v="#N/A"/>
    <s v="License"/>
    <m/>
    <s v="FlexNet Publisher Dongle License File"/>
    <s v="6400"/>
    <n v="10"/>
    <n v="50"/>
    <s v="Fix rate"/>
    <s v="FALSE"/>
    <m/>
    <s v="none"/>
    <s v="TRUE"/>
  </r>
  <r>
    <x v="0"/>
    <s v="227"/>
    <x v="142"/>
    <x v="61"/>
    <s v="3 months"/>
    <s v="3 months"/>
    <s v="FINALIZED PURCHASE PROCESS + 2 weeks"/>
    <s v="One-time payment"/>
    <s v="With FINAL DELIVERY"/>
    <s v="Elektrobit Tooling Licence"/>
    <s v="License"/>
    <m/>
    <s v="FlexNet Publisher Server Activation Code"/>
    <s v="6400"/>
    <n v="10"/>
    <n v="50"/>
    <s v="Fix rate"/>
    <s v="FALSE"/>
    <m/>
    <s v="UpdateRightByConfiguration"/>
    <s v="TRUE"/>
  </r>
  <r>
    <x v="1"/>
    <s v="228"/>
    <x v="143"/>
    <x v="87"/>
    <e v="#N/A"/>
    <e v="#N/A"/>
    <e v="#N/A"/>
    <e v="#N/A"/>
    <e v="#N/A"/>
    <e v="#N/A"/>
    <s v="Integration Package"/>
    <m/>
    <s v="no technical license protection"/>
    <s v="6500"/>
    <n v="10"/>
    <m/>
    <s v="Calculated"/>
    <s v="FALSE"/>
    <m/>
    <s v="none"/>
    <s v="TRUE"/>
  </r>
  <r>
    <x v="1"/>
    <s v="229"/>
    <x v="144"/>
    <x v="88"/>
    <e v="#N/A"/>
    <e v="#N/A"/>
    <e v="#N/A"/>
    <e v="#N/A"/>
    <e v="#N/A"/>
    <e v="#N/A"/>
    <s v="Integration Package"/>
    <m/>
    <s v="no technical license protection"/>
    <s v="6500"/>
    <n v="10"/>
    <m/>
    <s v="Calculated"/>
    <s v="FALSE"/>
    <m/>
    <s v="none"/>
    <s v="TRUE"/>
  </r>
  <r>
    <x v="1"/>
    <s v="23"/>
    <x v="145"/>
    <x v="89"/>
    <e v="#N/A"/>
    <e v="#N/A"/>
    <e v="#N/A"/>
    <e v="#N/A"/>
    <e v="#N/A"/>
    <e v="#N/A"/>
    <s v="License"/>
    <m/>
    <s v="no technical license protection"/>
    <m/>
    <n v="10"/>
    <n v="50"/>
    <s v="Fix rate"/>
    <s v="FALSE"/>
    <m/>
    <s v="none"/>
    <s v="TRUE"/>
  </r>
  <r>
    <x v="1"/>
    <s v="230"/>
    <x v="146"/>
    <x v="90"/>
    <e v="#N/A"/>
    <e v="#N/A"/>
    <e v="#N/A"/>
    <e v="#N/A"/>
    <e v="#N/A"/>
    <e v="#N/A"/>
    <s v="Qualification Package"/>
    <m/>
    <s v="no technical license protection"/>
    <s v="6500"/>
    <n v="10"/>
    <m/>
    <s v="Calculated"/>
    <s v="FALSE"/>
    <m/>
    <s v="none"/>
    <s v="TRUE"/>
  </r>
  <r>
    <x v="1"/>
    <s v="231"/>
    <x v="147"/>
    <x v="91"/>
    <e v="#N/A"/>
    <e v="#N/A"/>
    <e v="#N/A"/>
    <e v="#N/A"/>
    <e v="#N/A"/>
    <e v="#N/A"/>
    <s v="Qualification Package"/>
    <m/>
    <s v="no technical license protection"/>
    <s v="6500"/>
    <n v="10"/>
    <m/>
    <s v="Calculated"/>
    <s v="FALSE"/>
    <m/>
    <s v="none"/>
    <s v="TRUE"/>
  </r>
  <r>
    <x v="1"/>
    <s v="232"/>
    <x v="148"/>
    <x v="92"/>
    <e v="#N/A"/>
    <e v="#N/A"/>
    <e v="#N/A"/>
    <e v="#N/A"/>
    <e v="#N/A"/>
    <e v="#N/A"/>
    <s v="Integration Package"/>
    <m/>
    <s v="no technical license protection"/>
    <s v="6500"/>
    <n v="10"/>
    <m/>
    <s v="Calculated"/>
    <s v="FALSE"/>
    <m/>
    <s v="none"/>
    <s v="TRUE"/>
  </r>
  <r>
    <x v="1"/>
    <s v="233"/>
    <x v="149"/>
    <x v="93"/>
    <e v="#N/A"/>
    <e v="#N/A"/>
    <e v="#N/A"/>
    <e v="#N/A"/>
    <e v="#N/A"/>
    <e v="#N/A"/>
    <s v="Integration Package"/>
    <m/>
    <s v="no technical license protection"/>
    <s v="6500"/>
    <n v="10"/>
    <m/>
    <s v="Calculated"/>
    <s v="FALSE"/>
    <m/>
    <s v="none"/>
    <s v="TRUE"/>
  </r>
  <r>
    <x v="1"/>
    <s v="234"/>
    <x v="150"/>
    <x v="94"/>
    <e v="#N/A"/>
    <e v="#N/A"/>
    <e v="#N/A"/>
    <e v="#N/A"/>
    <e v="#N/A"/>
    <e v="#N/A"/>
    <s v="Qualification Package"/>
    <m/>
    <s v="no technical license protection"/>
    <s v="6500"/>
    <n v="10"/>
    <m/>
    <s v="Calculated"/>
    <s v="FALSE"/>
    <m/>
    <s v="none"/>
    <s v="TRUE"/>
  </r>
  <r>
    <x v="1"/>
    <s v="235"/>
    <x v="151"/>
    <x v="95"/>
    <e v="#N/A"/>
    <e v="#N/A"/>
    <e v="#N/A"/>
    <e v="#N/A"/>
    <e v="#N/A"/>
    <e v="#N/A"/>
    <s v="Qualification Package"/>
    <m/>
    <s v="no technical license protection"/>
    <s v="6500"/>
    <n v="10"/>
    <m/>
    <s v="Calculated"/>
    <s v="FALSE"/>
    <m/>
    <s v="none"/>
    <s v="TRUE"/>
  </r>
  <r>
    <x v="1"/>
    <s v="236"/>
    <x v="152"/>
    <x v="96"/>
    <e v="#N/A"/>
    <e v="#N/A"/>
    <e v="#N/A"/>
    <e v="#N/A"/>
    <e v="#N/A"/>
    <e v="#N/A"/>
    <s v="Integration Package"/>
    <m/>
    <s v="no technical license protection"/>
    <s v="6500"/>
    <n v="10"/>
    <m/>
    <s v="Calculated"/>
    <s v="FALSE"/>
    <m/>
    <s v="none"/>
    <s v="TRUE"/>
  </r>
  <r>
    <x v="1"/>
    <s v="237"/>
    <x v="153"/>
    <x v="97"/>
    <e v="#N/A"/>
    <e v="#N/A"/>
    <e v="#N/A"/>
    <e v="#N/A"/>
    <e v="#N/A"/>
    <e v="#N/A"/>
    <s v="Integration Package"/>
    <m/>
    <s v="no technical license protection"/>
    <s v="6500"/>
    <n v="10"/>
    <m/>
    <s v="Calculated"/>
    <s v="FALSE"/>
    <m/>
    <s v="none"/>
    <s v="TRUE"/>
  </r>
  <r>
    <x v="1"/>
    <s v="238"/>
    <x v="154"/>
    <x v="98"/>
    <e v="#N/A"/>
    <e v="#N/A"/>
    <e v="#N/A"/>
    <e v="#N/A"/>
    <e v="#N/A"/>
    <e v="#N/A"/>
    <s v="Qualification Package"/>
    <m/>
    <s v="no technical license protection"/>
    <s v="6500"/>
    <n v="10"/>
    <m/>
    <s v="Calculated"/>
    <s v="FALSE"/>
    <m/>
    <s v="none"/>
    <s v="TRUE"/>
  </r>
  <r>
    <x v="1"/>
    <s v="239"/>
    <x v="155"/>
    <x v="99"/>
    <e v="#N/A"/>
    <e v="#N/A"/>
    <e v="#N/A"/>
    <e v="#N/A"/>
    <e v="#N/A"/>
    <e v="#N/A"/>
    <s v="Qualification Package"/>
    <m/>
    <s v="no technical license protection"/>
    <s v="6500"/>
    <n v="10"/>
    <m/>
    <s v="Calculated"/>
    <s v="FALSE"/>
    <m/>
    <s v="none"/>
    <s v="TRUE"/>
  </r>
  <r>
    <x v="1"/>
    <s v="24"/>
    <x v="156"/>
    <x v="100"/>
    <e v="#N/A"/>
    <e v="#N/A"/>
    <e v="#N/A"/>
    <e v="#N/A"/>
    <e v="#N/A"/>
    <e v="#N/A"/>
    <s v="License"/>
    <m/>
    <s v="no technical license protection"/>
    <m/>
    <n v="10"/>
    <n v="50"/>
    <s v="Fix rate"/>
    <s v="FALSE"/>
    <m/>
    <s v="none"/>
    <s v="TRUE"/>
  </r>
  <r>
    <x v="0"/>
    <s v="240"/>
    <x v="157"/>
    <x v="101"/>
    <s v="n/a"/>
    <s v="12 months"/>
    <s v="n/a"/>
    <s v="Annual payment"/>
    <s v="Anually at the beginning of the extended period"/>
    <s v="n/a"/>
    <s v="License"/>
    <m/>
    <s v="no technical license protection"/>
    <s v="6400"/>
    <n v="10"/>
    <n v="50"/>
    <s v="Fix rate"/>
    <s v="FALSE"/>
    <m/>
    <s v="TotalAmountAsUpdateRight"/>
    <s v="TRUE"/>
  </r>
  <r>
    <x v="0"/>
    <s v="241"/>
    <x v="158"/>
    <x v="102"/>
    <s v="n/a"/>
    <s v="12 months"/>
    <s v="n/a"/>
    <s v="Annual payment"/>
    <s v="Anually at the beginning of the extended period"/>
    <s v="n/a"/>
    <s v="License"/>
    <m/>
    <s v="no technical license protection"/>
    <s v="6400"/>
    <n v="10"/>
    <n v="50"/>
    <s v="Fix rate"/>
    <s v="FALSE"/>
    <m/>
    <s v="TotalAmountAsUpdateRight"/>
    <s v="TRUE"/>
  </r>
  <r>
    <x v="1"/>
    <s v="242"/>
    <x v="159"/>
    <x v="103"/>
    <e v="#N/A"/>
    <e v="#N/A"/>
    <e v="#N/A"/>
    <e v="#N/A"/>
    <e v="#N/A"/>
    <e v="#N/A"/>
    <s v="License"/>
    <m/>
    <s v="no technical license protection"/>
    <s v="6400"/>
    <n v="10"/>
    <n v="50"/>
    <s v="Fix rate"/>
    <s v="FALSE"/>
    <m/>
    <s v="UpdateRightByConfiguration"/>
    <s v="TRUE"/>
  </r>
  <r>
    <x v="1"/>
    <s v="243"/>
    <x v="160"/>
    <x v="104"/>
    <e v="#N/A"/>
    <e v="#N/A"/>
    <e v="#N/A"/>
    <e v="#N/A"/>
    <e v="#N/A"/>
    <e v="#N/A"/>
    <s v="License"/>
    <m/>
    <s v="no technical license protection"/>
    <m/>
    <n v="10"/>
    <n v="50"/>
    <s v="Fix rate"/>
    <s v="FALSE"/>
    <m/>
    <s v="none"/>
    <s v="TRUE"/>
  </r>
  <r>
    <x v="1"/>
    <s v="244"/>
    <x v="161"/>
    <x v="105"/>
    <e v="#N/A"/>
    <e v="#N/A"/>
    <e v="#N/A"/>
    <e v="#N/A"/>
    <e v="#N/A"/>
    <e v="#N/A"/>
    <s v="License"/>
    <m/>
    <s v="ADTF Node-Locked License File"/>
    <s v="6400"/>
    <n v="10"/>
    <m/>
    <s v="Calculated"/>
    <s v="TRUE"/>
    <m/>
    <s v="TotalAmountAsUpdateRight"/>
    <s v="TRUE"/>
  </r>
  <r>
    <x v="1"/>
    <s v="245"/>
    <x v="162"/>
    <x v="106"/>
    <e v="#N/A"/>
    <e v="#N/A"/>
    <e v="#N/A"/>
    <e v="#N/A"/>
    <e v="#N/A"/>
    <e v="#N/A"/>
    <s v="License"/>
    <m/>
    <s v="no technical license protection"/>
    <m/>
    <n v="10"/>
    <n v="50"/>
    <s v="Fix rate"/>
    <s v="FALSE"/>
    <m/>
    <s v="none"/>
    <s v="TRUE"/>
  </r>
  <r>
    <x v="1"/>
    <s v="246"/>
    <x v="163"/>
    <x v="107"/>
    <e v="#N/A"/>
    <e v="#N/A"/>
    <e v="#N/A"/>
    <e v="#N/A"/>
    <e v="#N/A"/>
    <e v="#N/A"/>
    <s v="License"/>
    <m/>
    <s v="no technical license protection"/>
    <m/>
    <n v="10"/>
    <n v="50"/>
    <s v="Fix rate"/>
    <s v="FALSE"/>
    <m/>
    <s v="none"/>
    <s v="TRUE"/>
  </r>
  <r>
    <x v="0"/>
    <s v="247"/>
    <x v="164"/>
    <x v="108"/>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0"/>
    <s v="248"/>
    <x v="165"/>
    <x v="109"/>
    <s v="n/a"/>
    <s v="12 months"/>
    <s v="n/a"/>
    <s v="Annual payment"/>
    <s v="Anually at the beginning of the extended period"/>
    <s v="n/a"/>
    <s v="License"/>
    <m/>
    <s v="no technical license protection"/>
    <s v="6400"/>
    <n v="10"/>
    <n v="50"/>
    <s v="Fix rate"/>
    <s v="FALSE"/>
    <m/>
    <s v="TotalAmountAsUpdateRight"/>
    <s v="TRUE"/>
  </r>
  <r>
    <x v="0"/>
    <s v="249"/>
    <x v="166"/>
    <x v="110"/>
    <s v="n/a"/>
    <s v="n/a"/>
    <s v="In mutual alignment with the project"/>
    <s v="One-time payment"/>
    <s v="With FINAL DELIVERY"/>
    <s v="n/a"/>
    <s v="Porting"/>
    <m/>
    <s v="no technical license protection"/>
    <s v="6500"/>
    <n v="10"/>
    <m/>
    <s v="Calculated"/>
    <s v="FALSE"/>
    <m/>
    <s v="none"/>
    <s v="TRUE"/>
  </r>
  <r>
    <x v="1"/>
    <s v="25"/>
    <x v="167"/>
    <x v="111"/>
    <e v="#N/A"/>
    <e v="#N/A"/>
    <e v="#N/A"/>
    <e v="#N/A"/>
    <e v="#N/A"/>
    <e v="#N/A"/>
    <s v="License"/>
    <m/>
    <s v="FlexNet Publisher Dongle License File"/>
    <s v="6400"/>
    <n v="10"/>
    <n v="50"/>
    <s v="Fix rate"/>
    <s v="FALSE"/>
    <m/>
    <s v="none"/>
    <s v="TRUE"/>
  </r>
  <r>
    <x v="1"/>
    <s v="250"/>
    <x v="168"/>
    <x v="5"/>
    <e v="#N/A"/>
    <e v="#N/A"/>
    <e v="#N/A"/>
    <e v="#N/A"/>
    <e v="#N/A"/>
    <e v="#N/A"/>
    <s v="Qualification Package"/>
    <m/>
    <s v="no technical license protection"/>
    <m/>
    <n v="10"/>
    <n v="50"/>
    <s v="Fix rate"/>
    <s v="FALSE"/>
    <m/>
    <s v="none"/>
    <s v="FALSE"/>
  </r>
  <r>
    <x v="1"/>
    <s v="251"/>
    <x v="169"/>
    <x v="5"/>
    <e v="#N/A"/>
    <e v="#N/A"/>
    <e v="#N/A"/>
    <e v="#N/A"/>
    <e v="#N/A"/>
    <e v="#N/A"/>
    <s v="Porting"/>
    <m/>
    <s v="no technical license protection"/>
    <m/>
    <n v="10"/>
    <n v="50"/>
    <s v="Fix rate"/>
    <s v="FALSE"/>
    <m/>
    <s v="none"/>
    <s v="TRUE"/>
  </r>
  <r>
    <x v="1"/>
    <s v="252"/>
    <x v="170"/>
    <x v="5"/>
    <e v="#N/A"/>
    <e v="#N/A"/>
    <e v="#N/A"/>
    <e v="#N/A"/>
    <e v="#N/A"/>
    <e v="#N/A"/>
    <s v="Qualification Package"/>
    <m/>
    <s v="no technical license protection"/>
    <m/>
    <n v="10"/>
    <n v="50"/>
    <s v="Fix rate"/>
    <s v="FALSE"/>
    <m/>
    <s v="none"/>
    <s v="TRUE"/>
  </r>
  <r>
    <x v="1"/>
    <s v="253"/>
    <x v="171"/>
    <x v="5"/>
    <e v="#N/A"/>
    <e v="#N/A"/>
    <e v="#N/A"/>
    <e v="#N/A"/>
    <e v="#N/A"/>
    <e v="#N/A"/>
    <s v="Porting"/>
    <m/>
    <s v="no technical license protection"/>
    <m/>
    <n v="10"/>
    <n v="50"/>
    <s v="Fix rate"/>
    <s v="FALSE"/>
    <m/>
    <s v="none"/>
    <s v="TRUE"/>
  </r>
  <r>
    <x v="1"/>
    <s v="254"/>
    <x v="172"/>
    <x v="45"/>
    <e v="#N/A"/>
    <e v="#N/A"/>
    <e v="#N/A"/>
    <e v="#N/A"/>
    <e v="#N/A"/>
    <e v="#N/A"/>
    <s v="License"/>
    <m/>
    <s v="EB Hardware License File"/>
    <s v="6400"/>
    <n v="10"/>
    <n v="50"/>
    <s v="Fix rate"/>
    <s v="TRUE"/>
    <m/>
    <s v="TotalAmountAsUpdateRight"/>
    <s v="TRUE"/>
  </r>
  <r>
    <x v="1"/>
    <s v="255"/>
    <x v="173"/>
    <x v="112"/>
    <e v="#N/A"/>
    <e v="#N/A"/>
    <e v="#N/A"/>
    <e v="#N/A"/>
    <e v="#N/A"/>
    <e v="#N/A"/>
    <s v="License"/>
    <m/>
    <s v="EB GUIDE Node-Locked License File"/>
    <s v="6400"/>
    <n v="10"/>
    <n v="50"/>
    <s v="Fix rate"/>
    <s v="FALSE"/>
    <m/>
    <s v="none"/>
    <s v="TRUE"/>
  </r>
  <r>
    <x v="1"/>
    <s v="256"/>
    <x v="174"/>
    <x v="113"/>
    <e v="#N/A"/>
    <e v="#N/A"/>
    <e v="#N/A"/>
    <e v="#N/A"/>
    <e v="#N/A"/>
    <e v="#N/A"/>
    <s v="Integration Package"/>
    <m/>
    <s v="no technical license protection"/>
    <s v="6500"/>
    <n v="10"/>
    <m/>
    <s v="Calculated"/>
    <s v="FALSE"/>
    <m/>
    <s v="none"/>
    <s v="TRUE"/>
  </r>
  <r>
    <x v="1"/>
    <s v="257"/>
    <x v="175"/>
    <x v="114"/>
    <e v="#N/A"/>
    <e v="#N/A"/>
    <e v="#N/A"/>
    <e v="#N/A"/>
    <e v="#N/A"/>
    <e v="#N/A"/>
    <s v="Qualification Package"/>
    <m/>
    <s v="no technical license protection"/>
    <s v="6500"/>
    <n v="10"/>
    <m/>
    <s v="Calculated"/>
    <s v="FALSE"/>
    <m/>
    <s v="none"/>
    <s v="TRUE"/>
  </r>
  <r>
    <x v="1"/>
    <s v="258"/>
    <x v="176"/>
    <x v="115"/>
    <e v="#N/A"/>
    <e v="#N/A"/>
    <e v="#N/A"/>
    <e v="#N/A"/>
    <e v="#N/A"/>
    <e v="#N/A"/>
    <s v="License"/>
    <m/>
    <s v="no technical license protection"/>
    <m/>
    <n v="10"/>
    <n v="50"/>
    <s v="Fix rate"/>
    <s v="FALSE"/>
    <m/>
    <s v="none"/>
    <s v="TRUE"/>
  </r>
  <r>
    <x v="1"/>
    <s v="259"/>
    <x v="177"/>
    <x v="116"/>
    <e v="#N/A"/>
    <e v="#N/A"/>
    <e v="#N/A"/>
    <e v="#N/A"/>
    <e v="#N/A"/>
    <e v="#N/A"/>
    <s v="License"/>
    <m/>
    <s v="FlexNet Publisher Server Activation Code"/>
    <s v="6400"/>
    <n v="10"/>
    <m/>
    <s v="Calculated"/>
    <s v="TRUE"/>
    <n v="10"/>
    <s v="TotalAmountAsUpdateRight"/>
    <s v="TRUE"/>
  </r>
  <r>
    <x v="1"/>
    <s v="26"/>
    <x v="178"/>
    <x v="46"/>
    <e v="#N/A"/>
    <e v="#N/A"/>
    <e v="#N/A"/>
    <e v="#N/A"/>
    <e v="#N/A"/>
    <e v="#N/A"/>
    <s v="License"/>
    <m/>
    <s v="FlexNet Publisher Server Activation Code"/>
    <s v="6400"/>
    <n v="10"/>
    <n v="50"/>
    <s v="Fix rate"/>
    <s v="FALSE"/>
    <m/>
    <s v="none"/>
    <s v="TRUE"/>
  </r>
  <r>
    <x v="1"/>
    <s v="260"/>
    <x v="179"/>
    <x v="117"/>
    <e v="#N/A"/>
    <e v="#N/A"/>
    <e v="#N/A"/>
    <e v="#N/A"/>
    <e v="#N/A"/>
    <e v="#N/A"/>
    <s v="License"/>
    <m/>
    <s v="FlexNet Publisher Server Activation Code"/>
    <s v="6400"/>
    <n v="10"/>
    <m/>
    <s v="Calculated"/>
    <s v="TRUE"/>
    <m/>
    <s v="TotalAmountAsUpdateRight"/>
    <s v="TRUE"/>
  </r>
  <r>
    <x v="1"/>
    <s v="261"/>
    <x v="180"/>
    <x v="118"/>
    <e v="#N/A"/>
    <e v="#N/A"/>
    <e v="#N/A"/>
    <e v="#N/A"/>
    <e v="#N/A"/>
    <e v="#N/A"/>
    <s v="License"/>
    <m/>
    <s v="ADTF Node-Locked License File"/>
    <s v="6400"/>
    <n v="10"/>
    <m/>
    <s v="Calculated"/>
    <s v="TRUE"/>
    <m/>
    <s v="UpdateRightByConfiguration"/>
    <s v="TRUE"/>
  </r>
  <r>
    <x v="1"/>
    <s v="262"/>
    <x v="181"/>
    <x v="117"/>
    <e v="#N/A"/>
    <e v="#N/A"/>
    <e v="#N/A"/>
    <e v="#N/A"/>
    <e v="#N/A"/>
    <e v="#N/A"/>
    <s v="License"/>
    <m/>
    <s v="ADTF Node-Locked License File"/>
    <s v="6400"/>
    <n v="10"/>
    <m/>
    <s v="Calculated"/>
    <s v="TRUE"/>
    <m/>
    <s v="TotalAmountAsUpdateRight"/>
    <s v="TRUE"/>
  </r>
  <r>
    <x v="1"/>
    <s v="263"/>
    <x v="182"/>
    <x v="5"/>
    <e v="#N/A"/>
    <e v="#N/A"/>
    <e v="#N/A"/>
    <e v="#N/A"/>
    <e v="#N/A"/>
    <e v="#N/A"/>
    <s v="Product related service without profile"/>
    <m/>
    <s v="no technical license protection"/>
    <m/>
    <n v="10"/>
    <m/>
    <s v="Calculated"/>
    <s v="FALSE"/>
    <m/>
    <s v="none"/>
    <s v="TRUE"/>
  </r>
  <r>
    <x v="1"/>
    <s v="264"/>
    <x v="183"/>
    <x v="119"/>
    <e v="#N/A"/>
    <e v="#N/A"/>
    <e v="#N/A"/>
    <e v="#N/A"/>
    <e v="#N/A"/>
    <e v="#N/A"/>
    <s v="Qualification Package"/>
    <m/>
    <s v="no technical license protection"/>
    <m/>
    <n v="10"/>
    <n v="50"/>
    <s v="Fix rate"/>
    <s v="FALSE"/>
    <m/>
    <s v="none"/>
    <s v="TRUE"/>
  </r>
  <r>
    <x v="1"/>
    <s v="265"/>
    <x v="184"/>
    <x v="120"/>
    <e v="#N/A"/>
    <e v="#N/A"/>
    <e v="#N/A"/>
    <e v="#N/A"/>
    <e v="#N/A"/>
    <e v="#N/A"/>
    <s v="License"/>
    <m/>
    <s v="no technical license protection"/>
    <s v="6400"/>
    <n v="10"/>
    <n v="50"/>
    <s v="Fix rate"/>
    <s v="FALSE"/>
    <m/>
    <s v="none"/>
    <s v="TRUE"/>
  </r>
  <r>
    <x v="1"/>
    <s v="266"/>
    <x v="185"/>
    <x v="121"/>
    <e v="#N/A"/>
    <e v="#N/A"/>
    <e v="#N/A"/>
    <e v="#N/A"/>
    <e v="#N/A"/>
    <e v="#N/A"/>
    <s v="License"/>
    <m/>
    <s v="no technical license protection"/>
    <s v="6400"/>
    <n v="10"/>
    <n v="50"/>
    <s v="Fix rate"/>
    <s v="TRUE"/>
    <n v="0"/>
    <s v="none"/>
    <s v="TRUE"/>
  </r>
  <r>
    <x v="0"/>
    <s v="267"/>
    <x v="186"/>
    <x v="122"/>
    <s v="n/a"/>
    <s v="n/a"/>
    <s v="In mutual alignment with the project"/>
    <s v="One-time payment"/>
    <s v="With FINAL DELIVERY"/>
    <s v="Reproduction and Distribution License"/>
    <s v="License"/>
    <m/>
    <s v="no technical license protection"/>
    <s v="6500"/>
    <n v="10"/>
    <m/>
    <s v="Calculated"/>
    <s v="FALSE"/>
    <m/>
    <s v="none"/>
    <s v="TRUE"/>
  </r>
  <r>
    <x v="1"/>
    <s v="268"/>
    <x v="187"/>
    <x v="123"/>
    <e v="#N/A"/>
    <e v="#N/A"/>
    <e v="#N/A"/>
    <e v="#N/A"/>
    <e v="#N/A"/>
    <e v="#N/A"/>
    <s v="License"/>
    <m/>
    <s v="no technical license protection"/>
    <s v="6400"/>
    <n v="10"/>
    <n v="50"/>
    <s v="Fix rate"/>
    <s v="TRUE"/>
    <m/>
    <s v="none"/>
    <s v="TRUE"/>
  </r>
  <r>
    <x v="1"/>
    <s v="269"/>
    <x v="188"/>
    <x v="124"/>
    <e v="#N/A"/>
    <e v="#N/A"/>
    <e v="#N/A"/>
    <e v="#N/A"/>
    <e v="#N/A"/>
    <e v="#N/A"/>
    <s v="License"/>
    <m/>
    <s v="no technical license protection"/>
    <s v="6400"/>
    <n v="10"/>
    <n v="50"/>
    <s v="Fix rate"/>
    <s v="TRUE"/>
    <m/>
    <s v="none"/>
    <s v="TRUE"/>
  </r>
  <r>
    <x v="1"/>
    <s v="27"/>
    <x v="189"/>
    <x v="125"/>
    <e v="#N/A"/>
    <e v="#N/A"/>
    <e v="#N/A"/>
    <e v="#N/A"/>
    <e v="#N/A"/>
    <e v="#N/A"/>
    <s v="License"/>
    <m/>
    <s v="FlexNet Publisher Dongle License File"/>
    <m/>
    <n v="10"/>
    <n v="50"/>
    <s v="Fix rate"/>
    <s v="FALSE"/>
    <m/>
    <s v="none"/>
    <s v="TRUE"/>
  </r>
  <r>
    <x v="1"/>
    <s v="270"/>
    <x v="190"/>
    <x v="5"/>
    <e v="#N/A"/>
    <e v="#N/A"/>
    <e v="#N/A"/>
    <e v="#N/A"/>
    <e v="#N/A"/>
    <e v="#N/A"/>
    <s v="License"/>
    <m/>
    <s v="no technical license protection"/>
    <m/>
    <n v="10"/>
    <n v="50"/>
    <s v="Fix rate"/>
    <s v="FALSE"/>
    <m/>
    <s v="none"/>
    <s v="TRUE"/>
  </r>
  <r>
    <x v="0"/>
    <s v="271"/>
    <x v="191"/>
    <x v="126"/>
    <s v="perpetual"/>
    <s v="12 months"/>
    <s v="FINALIZED PURCHASE PROCESS + 2 weeks"/>
    <s v="One-time payment"/>
    <s v="With FINAL DELIVERY"/>
    <s v="Elektrobit Tooling Licence"/>
    <s v="License"/>
    <m/>
    <s v="FlexNet Publisher Application Activation Code"/>
    <s v="6400"/>
    <n v="10"/>
    <n v="50"/>
    <s v="Fix rate"/>
    <s v="TRUE"/>
    <m/>
    <s v="UpdateRightByConfiguration"/>
    <s v="TRUE"/>
  </r>
  <r>
    <x v="0"/>
    <s v="272"/>
    <x v="192"/>
    <x v="127"/>
    <s v="n/a"/>
    <s v="12 months"/>
    <s v="n/a"/>
    <s v="Annual payment"/>
    <s v="Anually at the beginning of the extended period"/>
    <s v="n/a"/>
    <s v="License"/>
    <m/>
    <s v="FlexNet Publisher Application Activation Code"/>
    <s v="6400"/>
    <n v="10"/>
    <n v="50"/>
    <s v="Fix rate"/>
    <s v="FALSE"/>
    <m/>
    <s v="TotalAmountAsUpdateRight"/>
    <s v="TRUE"/>
  </r>
  <r>
    <x v="1"/>
    <s v="273"/>
    <x v="193"/>
    <x v="128"/>
    <e v="#N/A"/>
    <e v="#N/A"/>
    <e v="#N/A"/>
    <e v="#N/A"/>
    <e v="#N/A"/>
    <e v="#N/A"/>
    <s v="License"/>
    <m/>
    <s v="no technical license protection"/>
    <m/>
    <n v="10"/>
    <n v="50"/>
    <s v="Fix rate"/>
    <s v="FALSE"/>
    <m/>
    <s v="none"/>
    <s v="TRUE"/>
  </r>
  <r>
    <x v="1"/>
    <s v="274"/>
    <x v="194"/>
    <x v="129"/>
    <e v="#N/A"/>
    <e v="#N/A"/>
    <e v="#N/A"/>
    <e v="#N/A"/>
    <e v="#N/A"/>
    <e v="#N/A"/>
    <s v="License"/>
    <m/>
    <s v="no technical license protection"/>
    <m/>
    <n v="10"/>
    <n v="50"/>
    <s v="Fix rate"/>
    <s v="FALSE"/>
    <m/>
    <s v="none"/>
    <s v="TRUE"/>
  </r>
  <r>
    <x v="1"/>
    <s v="275"/>
    <x v="195"/>
    <x v="129"/>
    <e v="#N/A"/>
    <e v="#N/A"/>
    <e v="#N/A"/>
    <e v="#N/A"/>
    <e v="#N/A"/>
    <e v="#N/A"/>
    <s v="License"/>
    <m/>
    <s v="no technical license protection"/>
    <m/>
    <n v="10"/>
    <n v="50"/>
    <s v="Fix rate"/>
    <s v="FALSE"/>
    <m/>
    <s v="none"/>
    <s v="TRUE"/>
  </r>
  <r>
    <x v="0"/>
    <s v="276"/>
    <x v="196"/>
    <x v="126"/>
    <s v="3 months"/>
    <s v="3 months"/>
    <s v="FINALIZED PURCHASE PROCESS + 2 weeks"/>
    <s v="One-time payment"/>
    <s v="With FINAL DELIVERY"/>
    <s v="Elektrobit Tooling Licence"/>
    <s v="License"/>
    <m/>
    <s v="FlexNet Publisher Application Activation Code"/>
    <s v="6400"/>
    <n v="10"/>
    <n v="50"/>
    <s v="Fix rate"/>
    <s v="FALSE"/>
    <m/>
    <s v="UpdateRightByConfiguration"/>
    <s v="TRUE"/>
  </r>
  <r>
    <x v="1"/>
    <s v="277"/>
    <x v="197"/>
    <x v="130"/>
    <e v="#N/A"/>
    <e v="#N/A"/>
    <e v="#N/A"/>
    <e v="#N/A"/>
    <e v="#N/A"/>
    <e v="#N/A"/>
    <s v="License"/>
    <m/>
    <s v="no technical license protection"/>
    <m/>
    <n v="10"/>
    <n v="50"/>
    <s v="Fix rate"/>
    <s v="FALSE"/>
    <m/>
    <s v="none"/>
    <s v="TRUE"/>
  </r>
  <r>
    <x v="1"/>
    <s v="278"/>
    <x v="198"/>
    <x v="131"/>
    <e v="#N/A"/>
    <e v="#N/A"/>
    <e v="#N/A"/>
    <e v="#N/A"/>
    <e v="#N/A"/>
    <e v="#N/A"/>
    <s v="License"/>
    <m/>
    <s v="no technical license protection"/>
    <m/>
    <n v="10"/>
    <n v="50"/>
    <s v="Fix rate"/>
    <s v="FALSE"/>
    <m/>
    <s v="none"/>
    <s v="TRUE"/>
  </r>
  <r>
    <x v="1"/>
    <s v="279"/>
    <x v="199"/>
    <x v="132"/>
    <e v="#N/A"/>
    <e v="#N/A"/>
    <e v="#N/A"/>
    <e v="#N/A"/>
    <e v="#N/A"/>
    <e v="#N/A"/>
    <s v="License"/>
    <m/>
    <s v="no technical license protection"/>
    <m/>
    <n v="10"/>
    <n v="50"/>
    <s v="Fix rate"/>
    <s v="FALSE"/>
    <m/>
    <s v="none"/>
    <s v="TRUE"/>
  </r>
  <r>
    <x v="0"/>
    <s v="28"/>
    <x v="200"/>
    <x v="133"/>
    <s v="12 months"/>
    <s v="12 months"/>
    <s v="FINALIZED PURCHASE PROCESS + 2 weeks"/>
    <s v="One-time payment"/>
    <s v="With FINAL DELIVERY"/>
    <s v="n/a"/>
    <s v="License"/>
    <m/>
    <s v="FlexNet Publisher Application Activation Code"/>
    <s v="6400"/>
    <n v="10"/>
    <n v="50"/>
    <s v="Fix rate"/>
    <s v="FALSE"/>
    <m/>
    <s v="UpdateRightByConfiguration"/>
    <s v="TRUE"/>
  </r>
  <r>
    <x v="1"/>
    <s v="280"/>
    <x v="201"/>
    <x v="134"/>
    <e v="#N/A"/>
    <e v="#N/A"/>
    <e v="#N/A"/>
    <e v="#N/A"/>
    <e v="#N/A"/>
    <e v="#N/A"/>
    <s v="License"/>
    <m/>
    <s v="no technical license protection"/>
    <m/>
    <n v="10"/>
    <n v="50"/>
    <s v="Fix rate"/>
    <s v="FALSE"/>
    <m/>
    <s v="none"/>
    <s v="TRUE"/>
  </r>
  <r>
    <x v="0"/>
    <s v="281"/>
    <x v="202"/>
    <x v="135"/>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0"/>
    <s v="282"/>
    <x v="203"/>
    <x v="136"/>
    <s v="n/a"/>
    <s v="12 months"/>
    <s v="n/a"/>
    <s v="Annual payment"/>
    <s v="Anually at the beginning of the extended period"/>
    <s v="n/a"/>
    <s v="License"/>
    <m/>
    <s v="no technical license protection"/>
    <s v="6400"/>
    <n v="10"/>
    <n v="50"/>
    <s v="Fix rate"/>
    <s v="FALSE"/>
    <m/>
    <s v="TotalAmountAsUpdateRight"/>
    <s v="TRUE"/>
  </r>
  <r>
    <x v="1"/>
    <s v="283"/>
    <x v="204"/>
    <x v="5"/>
    <e v="#N/A"/>
    <e v="#N/A"/>
    <e v="#N/A"/>
    <e v="#N/A"/>
    <e v="#N/A"/>
    <e v="#N/A"/>
    <s v="Training"/>
    <m/>
    <s v="no technical license protection"/>
    <m/>
    <n v="10"/>
    <m/>
    <s v="Calculated"/>
    <s v="FALSE"/>
    <m/>
    <s v="none"/>
    <s v="TRUE"/>
  </r>
  <r>
    <x v="1"/>
    <s v="284"/>
    <x v="205"/>
    <x v="5"/>
    <e v="#N/A"/>
    <e v="#N/A"/>
    <e v="#N/A"/>
    <e v="#N/A"/>
    <e v="#N/A"/>
    <e v="#N/A"/>
    <s v="Product related service without profile"/>
    <m/>
    <s v="no technical license protection"/>
    <s v="6500"/>
    <n v="10"/>
    <m/>
    <s v="Calculated"/>
    <s v="FALSE"/>
    <m/>
    <s v="none"/>
    <s v="TRUE"/>
  </r>
  <r>
    <x v="1"/>
    <s v="285"/>
    <x v="206"/>
    <x v="137"/>
    <e v="#N/A"/>
    <e v="#N/A"/>
    <e v="#N/A"/>
    <e v="#N/A"/>
    <e v="#N/A"/>
    <e v="#N/A"/>
    <s v="License"/>
    <m/>
    <s v="EB GUIDE Node-Locked License File"/>
    <s v="6400"/>
    <n v="10"/>
    <n v="50"/>
    <s v="Fix rate"/>
    <s v="TRUE"/>
    <m/>
    <s v="UpdateRightByConfiguration"/>
    <s v="TRUE"/>
  </r>
  <r>
    <x v="1"/>
    <s v="286"/>
    <x v="207"/>
    <x v="138"/>
    <e v="#N/A"/>
    <e v="#N/A"/>
    <e v="#N/A"/>
    <e v="#N/A"/>
    <e v="#N/A"/>
    <e v="#N/A"/>
    <s v="License"/>
    <m/>
    <s v="EB GUIDE Node-Locked License File"/>
    <s v="6400"/>
    <n v="10"/>
    <n v="50"/>
    <s v="Fix rate"/>
    <s v="TRUE"/>
    <m/>
    <s v="TotalAmountAsUpdateRight"/>
    <s v="TRUE"/>
  </r>
  <r>
    <x v="1"/>
    <s v="287"/>
    <x v="208"/>
    <x v="139"/>
    <e v="#N/A"/>
    <e v="#N/A"/>
    <e v="#N/A"/>
    <e v="#N/A"/>
    <e v="#N/A"/>
    <e v="#N/A"/>
    <s v="License"/>
    <m/>
    <s v="ADTF Node-Locked License File"/>
    <s v="6400"/>
    <n v="10"/>
    <m/>
    <s v="Calculated"/>
    <s v="TRUE"/>
    <m/>
    <s v="TotalAmountAsUpdateRight"/>
    <s v="TRUE"/>
  </r>
  <r>
    <x v="1"/>
    <s v="288"/>
    <x v="209"/>
    <x v="84"/>
    <e v="#N/A"/>
    <e v="#N/A"/>
    <e v="#N/A"/>
    <e v="#N/A"/>
    <e v="#N/A"/>
    <e v="#N/A"/>
    <s v="License"/>
    <m/>
    <s v="EB GUIDE Node-Locked License File"/>
    <s v="6400"/>
    <n v="10"/>
    <n v="50"/>
    <s v="Fix rate"/>
    <s v="FALSE"/>
    <m/>
    <s v="UpdateRightByConfiguration"/>
    <s v="TRUE"/>
  </r>
  <r>
    <x v="1"/>
    <s v="289"/>
    <x v="210"/>
    <x v="80"/>
    <e v="#N/A"/>
    <e v="#N/A"/>
    <e v="#N/A"/>
    <e v="#N/A"/>
    <e v="#N/A"/>
    <e v="#N/A"/>
    <s v="License"/>
    <m/>
    <s v="EB GUIDE Node-Locked License File"/>
    <s v="6400"/>
    <n v="10"/>
    <n v="50"/>
    <s v="Fix rate"/>
    <s v="TRUE"/>
    <m/>
    <s v="none"/>
    <s v="TRUE"/>
  </r>
  <r>
    <x v="1"/>
    <s v="29"/>
    <x v="211"/>
    <x v="140"/>
    <e v="#N/A"/>
    <e v="#N/A"/>
    <e v="#N/A"/>
    <e v="#N/A"/>
    <e v="#N/A"/>
    <e v="#N/A"/>
    <s v="License"/>
    <m/>
    <s v="no technical license protection"/>
    <m/>
    <n v="10"/>
    <n v="50"/>
    <s v="Fix rate"/>
    <s v="FALSE"/>
    <m/>
    <s v="none"/>
    <s v="TRUE"/>
  </r>
  <r>
    <x v="1"/>
    <s v="290"/>
    <x v="212"/>
    <x v="141"/>
    <e v="#N/A"/>
    <e v="#N/A"/>
    <e v="#N/A"/>
    <e v="#N/A"/>
    <e v="#N/A"/>
    <e v="#N/A"/>
    <s v="License"/>
    <m/>
    <s v="FlexNet Publisher Application Activation Code"/>
    <s v="6400"/>
    <n v="10"/>
    <n v="50"/>
    <s v="Fix rate"/>
    <s v="TRUE"/>
    <m/>
    <s v="none"/>
    <s v="TRUE"/>
  </r>
  <r>
    <x v="1"/>
    <s v="291"/>
    <x v="213"/>
    <x v="142"/>
    <e v="#N/A"/>
    <e v="#N/A"/>
    <e v="#N/A"/>
    <e v="#N/A"/>
    <e v="#N/A"/>
    <e v="#N/A"/>
    <s v="Porting"/>
    <m/>
    <s v="no technical license protection"/>
    <s v="6500"/>
    <n v="10"/>
    <m/>
    <s v="Calculated"/>
    <s v="FALSE"/>
    <m/>
    <s v="none"/>
    <s v="TRUE"/>
  </r>
  <r>
    <x v="1"/>
    <s v="292"/>
    <x v="214"/>
    <x v="143"/>
    <e v="#N/A"/>
    <e v="#N/A"/>
    <e v="#N/A"/>
    <e v="#N/A"/>
    <e v="#N/A"/>
    <e v="#N/A"/>
    <s v="Porting"/>
    <m/>
    <s v="no technical license protection"/>
    <s v="6500"/>
    <n v="10"/>
    <m/>
    <s v="Calculated"/>
    <s v="FALSE"/>
    <m/>
    <s v="none"/>
    <s v="TRUE"/>
  </r>
  <r>
    <x v="1"/>
    <s v="293"/>
    <x v="215"/>
    <x v="144"/>
    <e v="#N/A"/>
    <e v="#N/A"/>
    <e v="#N/A"/>
    <e v="#N/A"/>
    <e v="#N/A"/>
    <e v="#N/A"/>
    <s v="Product related service without profile"/>
    <m/>
    <s v="no technical license protection"/>
    <s v="6500"/>
    <n v="10"/>
    <m/>
    <s v="Calculated"/>
    <s v="FALSE"/>
    <m/>
    <s v="none"/>
    <s v="TRUE"/>
  </r>
  <r>
    <x v="1"/>
    <s v="294"/>
    <x v="216"/>
    <x v="145"/>
    <e v="#N/A"/>
    <e v="#N/A"/>
    <e v="#N/A"/>
    <e v="#N/A"/>
    <e v="#N/A"/>
    <e v="#N/A"/>
    <s v="Integration Package"/>
    <m/>
    <s v="no technical license protection"/>
    <s v="6500"/>
    <n v="10"/>
    <m/>
    <s v="Calculated"/>
    <s v="FALSE"/>
    <m/>
    <s v="none"/>
    <s v="TRUE"/>
  </r>
  <r>
    <x v="1"/>
    <s v="295"/>
    <x v="217"/>
    <x v="146"/>
    <e v="#N/A"/>
    <e v="#N/A"/>
    <e v="#N/A"/>
    <e v="#N/A"/>
    <e v="#N/A"/>
    <e v="#N/A"/>
    <s v="Porting"/>
    <m/>
    <s v="no technical license protection"/>
    <s v="6500"/>
    <n v="10"/>
    <m/>
    <s v="Calculated"/>
    <s v="FALSE"/>
    <m/>
    <s v="none"/>
    <s v="TRUE"/>
  </r>
  <r>
    <x v="1"/>
    <s v="296"/>
    <x v="218"/>
    <x v="147"/>
    <e v="#N/A"/>
    <e v="#N/A"/>
    <e v="#N/A"/>
    <e v="#N/A"/>
    <e v="#N/A"/>
    <e v="#N/A"/>
    <s v="Porting"/>
    <m/>
    <s v="no technical license protection"/>
    <s v="6500"/>
    <n v="10"/>
    <m/>
    <s v="Calculated"/>
    <s v="FALSE"/>
    <m/>
    <s v="none"/>
    <s v="TRUE"/>
  </r>
  <r>
    <x v="1"/>
    <s v="297"/>
    <x v="219"/>
    <x v="148"/>
    <e v="#N/A"/>
    <e v="#N/A"/>
    <e v="#N/A"/>
    <e v="#N/A"/>
    <e v="#N/A"/>
    <e v="#N/A"/>
    <s v="Porting"/>
    <m/>
    <s v="no technical license protection"/>
    <s v="6500"/>
    <n v="10"/>
    <m/>
    <s v="Calculated"/>
    <s v="FALSE"/>
    <m/>
    <s v="none"/>
    <s v="TRUE"/>
  </r>
  <r>
    <x v="1"/>
    <s v="298"/>
    <x v="220"/>
    <x v="149"/>
    <e v="#N/A"/>
    <e v="#N/A"/>
    <e v="#N/A"/>
    <e v="#N/A"/>
    <e v="#N/A"/>
    <e v="#N/A"/>
    <s v="Porting"/>
    <m/>
    <s v="no technical license protection"/>
    <s v="6500"/>
    <n v="10"/>
    <m/>
    <s v="Calculated"/>
    <s v="FALSE"/>
    <m/>
    <s v="none"/>
    <s v="TRUE"/>
  </r>
  <r>
    <x v="1"/>
    <s v="299"/>
    <x v="221"/>
    <x v="150"/>
    <e v="#N/A"/>
    <e v="#N/A"/>
    <e v="#N/A"/>
    <e v="#N/A"/>
    <e v="#N/A"/>
    <e v="#N/A"/>
    <s v="License"/>
    <m/>
    <s v="no technical license protection"/>
    <m/>
    <n v="10"/>
    <n v="50"/>
    <s v="Fix rate"/>
    <s v="FALSE"/>
    <m/>
    <s v="none"/>
    <s v="TRUE"/>
  </r>
  <r>
    <x v="0"/>
    <s v="3"/>
    <x v="222"/>
    <x v="151"/>
    <s v="n/a"/>
    <s v="12 months"/>
    <s v="n/a"/>
    <s v="Annual payment"/>
    <s v="Anually at the beginning of the extended period"/>
    <s v="n/a"/>
    <s v="License"/>
    <m/>
    <s v="FlexNet Publisher Dongle License File"/>
    <s v="6400"/>
    <n v="10"/>
    <n v="50"/>
    <s v="Fix rate"/>
    <s v="FALSE"/>
    <m/>
    <s v="TotalAmountAsUpdateRight"/>
    <s v="TRUE"/>
  </r>
  <r>
    <x v="1"/>
    <s v="30"/>
    <x v="223"/>
    <x v="152"/>
    <e v="#N/A"/>
    <e v="#N/A"/>
    <e v="#N/A"/>
    <e v="#N/A"/>
    <e v="#N/A"/>
    <e v="#N/A"/>
    <s v="License"/>
    <m/>
    <s v="FlexNet Publisher Dongle License File"/>
    <m/>
    <n v="10"/>
    <n v="50"/>
    <s v="Fix rate"/>
    <s v="FALSE"/>
    <m/>
    <s v="none"/>
    <s v="TRUE"/>
  </r>
  <r>
    <x v="1"/>
    <s v="300"/>
    <x v="224"/>
    <x v="153"/>
    <e v="#N/A"/>
    <e v="#N/A"/>
    <e v="#N/A"/>
    <e v="#N/A"/>
    <e v="#N/A"/>
    <e v="#N/A"/>
    <s v="License"/>
    <m/>
    <s v="no technical license protection"/>
    <m/>
    <n v="10"/>
    <n v="50"/>
    <s v="Fix rate"/>
    <s v="FALSE"/>
    <m/>
    <s v="none"/>
    <s v="TRUE"/>
  </r>
  <r>
    <x v="1"/>
    <s v="301"/>
    <x v="225"/>
    <x v="154"/>
    <e v="#N/A"/>
    <e v="#N/A"/>
    <e v="#N/A"/>
    <e v="#N/A"/>
    <e v="#N/A"/>
    <e v="#N/A"/>
    <s v="License"/>
    <m/>
    <s v="no technical license protection"/>
    <m/>
    <n v="10"/>
    <n v="50"/>
    <s v="Fix rate"/>
    <s v="FALSE"/>
    <m/>
    <s v="none"/>
    <s v="TRUE"/>
  </r>
  <r>
    <x v="0"/>
    <s v="302"/>
    <x v="226"/>
    <x v="155"/>
    <s v="n/a"/>
    <s v="12 months"/>
    <s v="n/a"/>
    <s v="Annual payment"/>
    <s v="Anually at the beginning of the extended period"/>
    <s v="n/a"/>
    <s v="License"/>
    <m/>
    <s v="no technical license protection"/>
    <s v="6400"/>
    <n v="10"/>
    <n v="50"/>
    <s v="Fix rate"/>
    <s v="FALSE"/>
    <m/>
    <s v="TotalAmountAsUpdateRight"/>
    <s v="TRUE"/>
  </r>
  <r>
    <x v="1"/>
    <s v="303"/>
    <x v="227"/>
    <x v="156"/>
    <e v="#N/A"/>
    <e v="#N/A"/>
    <e v="#N/A"/>
    <e v="#N/A"/>
    <e v="#N/A"/>
    <e v="#N/A"/>
    <s v="License"/>
    <m/>
    <s v="no technical license protection"/>
    <s v="6400"/>
    <n v="10"/>
    <n v="50"/>
    <s v="Fix rate"/>
    <s v="FALSE"/>
    <m/>
    <s v="TotalAmountAsUpdateRight"/>
    <s v="TRUE"/>
  </r>
  <r>
    <x v="1"/>
    <s v="304"/>
    <x v="228"/>
    <x v="157"/>
    <e v="#N/A"/>
    <e v="#N/A"/>
    <e v="#N/A"/>
    <e v="#N/A"/>
    <e v="#N/A"/>
    <e v="#N/A"/>
    <s v="Qualification Package"/>
    <m/>
    <s v="no technical license protection"/>
    <s v="6500"/>
    <n v="10"/>
    <m/>
    <s v="Calculated"/>
    <s v="FALSE"/>
    <m/>
    <s v="none"/>
    <s v="TRUE"/>
  </r>
  <r>
    <x v="0"/>
    <s v="305"/>
    <x v="229"/>
    <x v="158"/>
    <s v="n/a"/>
    <s v="n/a"/>
    <s v="n/a"/>
    <s v="One-time payment"/>
    <s v="With FINAL DELIVERY"/>
    <s v="n/a"/>
    <s v="Porting"/>
    <m/>
    <s v="no technical license protection"/>
    <s v="6500"/>
    <n v="10"/>
    <m/>
    <s v="Calculated"/>
    <s v="FALSE"/>
    <m/>
    <s v="none"/>
    <s v="TRUE"/>
  </r>
  <r>
    <x v="1"/>
    <s v="306"/>
    <x v="230"/>
    <x v="159"/>
    <e v="#N/A"/>
    <e v="#N/A"/>
    <e v="#N/A"/>
    <e v="#N/A"/>
    <e v="#N/A"/>
    <e v="#N/A"/>
    <s v="Porting"/>
    <m/>
    <s v="no technical license protection"/>
    <s v="6500"/>
    <n v="10"/>
    <m/>
    <s v="Calculated"/>
    <s v="FALSE"/>
    <m/>
    <s v="none"/>
    <s v="TRUE"/>
  </r>
  <r>
    <x v="1"/>
    <s v="307"/>
    <x v="231"/>
    <x v="160"/>
    <e v="#N/A"/>
    <e v="#N/A"/>
    <e v="#N/A"/>
    <e v="#N/A"/>
    <e v="#N/A"/>
    <e v="#N/A"/>
    <s v="Porting"/>
    <m/>
    <s v="no technical license protection"/>
    <s v="6500"/>
    <n v="10"/>
    <m/>
    <s v="Calculated"/>
    <s v="FALSE"/>
    <m/>
    <s v="none"/>
    <s v="TRUE"/>
  </r>
  <r>
    <x v="1"/>
    <s v="308"/>
    <x v="232"/>
    <x v="161"/>
    <e v="#N/A"/>
    <e v="#N/A"/>
    <e v="#N/A"/>
    <e v="#N/A"/>
    <e v="#N/A"/>
    <e v="#N/A"/>
    <s v="Porting"/>
    <m/>
    <s v="no technical license protection"/>
    <s v="6500"/>
    <n v="10"/>
    <m/>
    <s v="Calculated"/>
    <s v="FALSE"/>
    <m/>
    <s v="none"/>
    <s v="TRUE"/>
  </r>
  <r>
    <x v="0"/>
    <s v="309"/>
    <x v="233"/>
    <x v="162"/>
    <s v="n/a"/>
    <s v="n/a"/>
    <s v="n/a"/>
    <s v="One-time payment"/>
    <s v="With FINAL DELIVERY"/>
    <s v="n/a"/>
    <s v="Qualification Package"/>
    <m/>
    <s v="no technical license protection"/>
    <s v="6500"/>
    <n v="10"/>
    <m/>
    <s v="Calculated"/>
    <s v="FALSE"/>
    <m/>
    <s v="none"/>
    <s v="TRUE"/>
  </r>
  <r>
    <x v="1"/>
    <s v="31"/>
    <x v="234"/>
    <x v="163"/>
    <e v="#N/A"/>
    <e v="#N/A"/>
    <e v="#N/A"/>
    <e v="#N/A"/>
    <e v="#N/A"/>
    <e v="#N/A"/>
    <s v="License"/>
    <m/>
    <s v="no technical license protection"/>
    <m/>
    <n v="10"/>
    <n v="50"/>
    <s v="Fix rate"/>
    <s v="FALSE"/>
    <m/>
    <s v="none"/>
    <s v="TRUE"/>
  </r>
  <r>
    <x v="0"/>
    <s v="310"/>
    <x v="235"/>
    <x v="164"/>
    <s v="n/a"/>
    <s v="n/a"/>
    <s v="FINALIZED PURCHASE PROCESS + 2 weeks"/>
    <s v="One-time payment"/>
    <s v="With FINAL DELIVERY"/>
    <s v="Evaluation and Demonstration License"/>
    <s v="License"/>
    <m/>
    <s v="FlexNet Publisher Application Activation Code"/>
    <s v="6400"/>
    <n v="10"/>
    <n v="50"/>
    <s v="Fix rate"/>
    <s v="FALSE"/>
    <m/>
    <s v="none"/>
    <s v="TRUE"/>
  </r>
  <r>
    <x v="0"/>
    <s v="311"/>
    <x v="236"/>
    <x v="165"/>
    <s v="3 months"/>
    <s v="n/a"/>
    <s v="FINALIZED PURCHASE PROCESS + 2 weeks"/>
    <s v="One-time payment"/>
    <s v="With FINAL DELIVERY"/>
    <s v="Evaluation and Demonstration License"/>
    <s v="License"/>
    <m/>
    <s v="FlexNet Publisher Application Activation Code"/>
    <s v="6400"/>
    <n v="10"/>
    <n v="50"/>
    <s v="Fix rate"/>
    <s v="FALSE"/>
    <m/>
    <s v="none"/>
    <s v="TRUE"/>
  </r>
  <r>
    <x v="1"/>
    <s v="312"/>
    <x v="237"/>
    <x v="27"/>
    <e v="#N/A"/>
    <e v="#N/A"/>
    <e v="#N/A"/>
    <e v="#N/A"/>
    <e v="#N/A"/>
    <e v="#N/A"/>
    <s v="License"/>
    <m/>
    <s v="FlexNet Publisher Application Activation Code"/>
    <s v="6400"/>
    <n v="10"/>
    <n v="50"/>
    <s v="Fix rate"/>
    <s v="TRUE"/>
    <m/>
    <s v="UpdateRightByConfiguration"/>
    <s v="TRUE"/>
  </r>
  <r>
    <x v="1"/>
    <s v="313"/>
    <x v="238"/>
    <x v="5"/>
    <e v="#N/A"/>
    <e v="#N/A"/>
    <e v="#N/A"/>
    <e v="#N/A"/>
    <e v="#N/A"/>
    <e v="#N/A"/>
    <s v="Product related service without profile"/>
    <m/>
    <s v="no technical license protection"/>
    <s v="6500"/>
    <n v="10"/>
    <m/>
    <s v="Calculated"/>
    <s v="FALSE"/>
    <m/>
    <s v="none"/>
    <s v="TRUE"/>
  </r>
  <r>
    <x v="1"/>
    <s v="314"/>
    <x v="239"/>
    <x v="166"/>
    <e v="#N/A"/>
    <e v="#N/A"/>
    <e v="#N/A"/>
    <e v="#N/A"/>
    <e v="#N/A"/>
    <e v="#N/A"/>
    <s v="Porting"/>
    <m/>
    <s v="no technical license protection"/>
    <s v="6500"/>
    <n v="10"/>
    <m/>
    <s v="Calculated"/>
    <s v="FALSE"/>
    <m/>
    <s v="none"/>
    <s v="TRUE"/>
  </r>
  <r>
    <x v="1"/>
    <s v="315"/>
    <x v="240"/>
    <x v="167"/>
    <e v="#N/A"/>
    <e v="#N/A"/>
    <e v="#N/A"/>
    <e v="#N/A"/>
    <e v="#N/A"/>
    <e v="#N/A"/>
    <s v="Qualification Package"/>
    <m/>
    <s v="no technical license protection"/>
    <s v="6500"/>
    <n v="10"/>
    <m/>
    <s v="Calculated"/>
    <s v="FALSE"/>
    <m/>
    <s v="none"/>
    <s v="TRUE"/>
  </r>
  <r>
    <x v="1"/>
    <s v="316"/>
    <x v="241"/>
    <x v="168"/>
    <e v="#N/A"/>
    <e v="#N/A"/>
    <e v="#N/A"/>
    <e v="#N/A"/>
    <e v="#N/A"/>
    <e v="#N/A"/>
    <s v="Qualification Package"/>
    <m/>
    <s v="no technical license protection"/>
    <s v="6500"/>
    <n v="10"/>
    <m/>
    <s v="Calculated"/>
    <s v="FALSE"/>
    <m/>
    <s v="none"/>
    <s v="TRUE"/>
  </r>
  <r>
    <x v="1"/>
    <s v="317"/>
    <x v="242"/>
    <x v="169"/>
    <e v="#N/A"/>
    <e v="#N/A"/>
    <e v="#N/A"/>
    <e v="#N/A"/>
    <e v="#N/A"/>
    <e v="#N/A"/>
    <s v="Integration Package"/>
    <m/>
    <s v="no technical license protection"/>
    <s v="6500"/>
    <n v="10"/>
    <m/>
    <s v="Calculated"/>
    <s v="FALSE"/>
    <m/>
    <s v="none"/>
    <s v="TRUE"/>
  </r>
  <r>
    <x v="1"/>
    <s v="318"/>
    <x v="243"/>
    <x v="119"/>
    <e v="#N/A"/>
    <e v="#N/A"/>
    <e v="#N/A"/>
    <e v="#N/A"/>
    <e v="#N/A"/>
    <e v="#N/A"/>
    <s v="Qualification Package"/>
    <m/>
    <s v="no technical license protection"/>
    <m/>
    <n v="10"/>
    <n v="50"/>
    <s v="Fix rate"/>
    <s v="FALSE"/>
    <m/>
    <s v="none"/>
    <s v="TRUE"/>
  </r>
  <r>
    <x v="1"/>
    <s v="319"/>
    <x v="244"/>
    <x v="170"/>
    <e v="#N/A"/>
    <e v="#N/A"/>
    <e v="#N/A"/>
    <e v="#N/A"/>
    <e v="#N/A"/>
    <e v="#N/A"/>
    <s v="Porting"/>
    <m/>
    <s v="no technical license protection"/>
    <m/>
    <n v="10"/>
    <n v="50"/>
    <s v="Fix rate"/>
    <s v="FALSE"/>
    <m/>
    <s v="none"/>
    <s v="TRUE"/>
  </r>
  <r>
    <x v="1"/>
    <s v="32"/>
    <x v="245"/>
    <x v="171"/>
    <e v="#N/A"/>
    <e v="#N/A"/>
    <e v="#N/A"/>
    <e v="#N/A"/>
    <e v="#N/A"/>
    <e v="#N/A"/>
    <s v="License"/>
    <m/>
    <s v="no technical license protection"/>
    <s v="6400"/>
    <n v="10"/>
    <n v="50"/>
    <s v="Fix rate"/>
    <s v="TRUE"/>
    <m/>
    <s v="none"/>
    <s v="TRUE"/>
  </r>
  <r>
    <x v="1"/>
    <s v="320"/>
    <x v="246"/>
    <x v="172"/>
    <e v="#N/A"/>
    <e v="#N/A"/>
    <e v="#N/A"/>
    <e v="#N/A"/>
    <e v="#N/A"/>
    <e v="#N/A"/>
    <s v="License"/>
    <m/>
    <s v="no technical license protection"/>
    <s v="6400"/>
    <n v="10"/>
    <n v="50"/>
    <s v="Fix rate"/>
    <s v="FALSE"/>
    <n v="10"/>
    <s v="UpdateRightByConfiguration"/>
    <s v="TRUE"/>
  </r>
  <r>
    <x v="1"/>
    <s v="321"/>
    <x v="247"/>
    <x v="5"/>
    <e v="#N/A"/>
    <e v="#N/A"/>
    <e v="#N/A"/>
    <e v="#N/A"/>
    <e v="#N/A"/>
    <e v="#N/A"/>
    <s v="Product related service without profile"/>
    <m/>
    <s v="no technical license protection"/>
    <s v="6500"/>
    <n v="10"/>
    <m/>
    <s v="Calculated"/>
    <s v="TRUE"/>
    <m/>
    <s v="none"/>
    <s v="TRUE"/>
  </r>
  <r>
    <x v="1"/>
    <s v="322"/>
    <x v="248"/>
    <x v="173"/>
    <e v="#N/A"/>
    <e v="#N/A"/>
    <e v="#N/A"/>
    <e v="#N/A"/>
    <e v="#N/A"/>
    <e v="#N/A"/>
    <s v="License"/>
    <m/>
    <s v="no technical license protection"/>
    <s v="6400"/>
    <n v="10"/>
    <m/>
    <s v="Calculated"/>
    <s v="TRUE"/>
    <m/>
    <s v="none"/>
    <s v="TRUE"/>
  </r>
  <r>
    <x v="1"/>
    <s v="323"/>
    <x v="249"/>
    <x v="174"/>
    <e v="#N/A"/>
    <e v="#N/A"/>
    <e v="#N/A"/>
    <e v="#N/A"/>
    <e v="#N/A"/>
    <e v="#N/A"/>
    <s v="License"/>
    <m/>
    <s v="FlexNet Publisher Dongle License File"/>
    <s v="6400"/>
    <n v="10"/>
    <n v="50"/>
    <s v="Fix rate"/>
    <s v="TRUE"/>
    <m/>
    <s v="UpdateRightByConfiguration"/>
    <s v="TRUE"/>
  </r>
  <r>
    <x v="1"/>
    <s v="324"/>
    <x v="250"/>
    <x v="175"/>
    <e v="#N/A"/>
    <e v="#N/A"/>
    <e v="#N/A"/>
    <e v="#N/A"/>
    <e v="#N/A"/>
    <e v="#N/A"/>
    <s v="License"/>
    <m/>
    <s v="FlexNet Publisher Dongle License File"/>
    <s v="6400"/>
    <n v="10"/>
    <n v="50"/>
    <s v="Fix rate"/>
    <s v="TRUE"/>
    <m/>
    <s v="UpdateRightByConfiguration"/>
    <s v="TRUE"/>
  </r>
  <r>
    <x v="1"/>
    <s v="325"/>
    <x v="251"/>
    <x v="176"/>
    <e v="#N/A"/>
    <e v="#N/A"/>
    <e v="#N/A"/>
    <e v="#N/A"/>
    <e v="#N/A"/>
    <e v="#N/A"/>
    <s v="License"/>
    <m/>
    <s v="FlexNet Publisher Application Activation Code"/>
    <s v="6400"/>
    <n v="10"/>
    <n v="50"/>
    <s v="Fix rate"/>
    <s v="TRUE"/>
    <m/>
    <s v="UpdateRightByConfiguration"/>
    <s v="TRUE"/>
  </r>
  <r>
    <x v="1"/>
    <s v="326"/>
    <x v="252"/>
    <x v="177"/>
    <e v="#N/A"/>
    <e v="#N/A"/>
    <e v="#N/A"/>
    <e v="#N/A"/>
    <e v="#N/A"/>
    <e v="#N/A"/>
    <s v="License"/>
    <m/>
    <s v="FlexNet Publisher Application Activation Code"/>
    <s v="6400"/>
    <n v="10"/>
    <n v="50"/>
    <s v="Fix rate"/>
    <s v="TRUE"/>
    <m/>
    <s v="UpdateRightByConfiguration"/>
    <s v="TRUE"/>
  </r>
  <r>
    <x v="1"/>
    <s v="327"/>
    <x v="253"/>
    <x v="178"/>
    <e v="#N/A"/>
    <e v="#N/A"/>
    <e v="#N/A"/>
    <e v="#N/A"/>
    <e v="#N/A"/>
    <e v="#N/A"/>
    <s v="License"/>
    <m/>
    <s v="FlexNet Publisher Server Activation Code"/>
    <s v="6400"/>
    <n v="10"/>
    <n v="50"/>
    <s v="Fix rate"/>
    <s v="TRUE"/>
    <m/>
    <s v="UpdateRightByConfiguration"/>
    <s v="TRUE"/>
  </r>
  <r>
    <x v="1"/>
    <s v="328"/>
    <x v="254"/>
    <x v="179"/>
    <e v="#N/A"/>
    <e v="#N/A"/>
    <e v="#N/A"/>
    <e v="#N/A"/>
    <e v="#N/A"/>
    <e v="#N/A"/>
    <s v="License"/>
    <m/>
    <s v="FlexNet Publisher Server Activation Code"/>
    <s v="6400"/>
    <n v="10"/>
    <n v="50"/>
    <s v="Fix rate"/>
    <s v="TRUE"/>
    <m/>
    <s v="UpdateRightByConfiguration"/>
    <s v="TRUE"/>
  </r>
  <r>
    <x v="1"/>
    <s v="329"/>
    <x v="255"/>
    <x v="180"/>
    <e v="#N/A"/>
    <e v="#N/A"/>
    <e v="#N/A"/>
    <e v="#N/A"/>
    <e v="#N/A"/>
    <e v="#N/A"/>
    <s v="License"/>
    <m/>
    <s v="FlexNet Publisher Application Activation Code"/>
    <s v="6400"/>
    <n v="10"/>
    <n v="50"/>
    <s v="Fix rate"/>
    <s v="TRUE"/>
    <m/>
    <s v="none"/>
    <s v="TRUE"/>
  </r>
  <r>
    <x v="1"/>
    <s v="33"/>
    <x v="256"/>
    <x v="78"/>
    <e v="#N/A"/>
    <e v="#N/A"/>
    <e v="#N/A"/>
    <e v="#N/A"/>
    <e v="#N/A"/>
    <e v="#N/A"/>
    <s v="License"/>
    <m/>
    <s v="EB GUIDE Dongle License File"/>
    <s v="6400"/>
    <n v="10"/>
    <n v="50"/>
    <s v="Fix rate"/>
    <s v="TRUE"/>
    <n v="10"/>
    <s v="UpdateRightByConfiguration"/>
    <s v="TRUE"/>
  </r>
  <r>
    <x v="0"/>
    <s v="330"/>
    <x v="257"/>
    <x v="181"/>
    <s v="n/a"/>
    <s v="n/a"/>
    <s v="FINALIZED PURCHASE PROCESS + 2 weeks"/>
    <s v="One-time payment"/>
    <s v="With FINAL DELIVERY"/>
    <s v="Evaluation and Demonstration License"/>
    <s v="License"/>
    <m/>
    <s v="no technical license protection"/>
    <s v="6400"/>
    <n v="10"/>
    <n v="50"/>
    <s v="Fix rate"/>
    <s v="FALSE"/>
    <n v="30"/>
    <s v="none"/>
    <s v="TRUE"/>
  </r>
  <r>
    <x v="1"/>
    <s v="331"/>
    <x v="258"/>
    <x v="46"/>
    <e v="#N/A"/>
    <e v="#N/A"/>
    <e v="#N/A"/>
    <e v="#N/A"/>
    <e v="#N/A"/>
    <e v="#N/A"/>
    <s v="License"/>
    <m/>
    <s v="no technical license protection"/>
    <m/>
    <n v="10"/>
    <n v="50"/>
    <s v="Fix rate"/>
    <s v="FALSE"/>
    <m/>
    <s v="none"/>
    <s v="TRUE"/>
  </r>
  <r>
    <x v="1"/>
    <s v="332"/>
    <x v="259"/>
    <x v="182"/>
    <e v="#N/A"/>
    <e v="#N/A"/>
    <e v="#N/A"/>
    <e v="#N/A"/>
    <e v="#N/A"/>
    <e v="#N/A"/>
    <s v="Integration Package"/>
    <m/>
    <s v="no technical license protection"/>
    <s v="6500"/>
    <n v="10"/>
    <m/>
    <s v="Calculated"/>
    <s v="FALSE"/>
    <m/>
    <s v="none"/>
    <s v="TRUE"/>
  </r>
  <r>
    <x v="1"/>
    <s v="333"/>
    <x v="260"/>
    <x v="183"/>
    <e v="#N/A"/>
    <e v="#N/A"/>
    <e v="#N/A"/>
    <e v="#N/A"/>
    <e v="#N/A"/>
    <e v="#N/A"/>
    <s v="Integration Package"/>
    <m/>
    <s v="no technical license protection"/>
    <s v="6500"/>
    <n v="10"/>
    <m/>
    <s v="Calculated"/>
    <s v="FALSE"/>
    <m/>
    <s v="none"/>
    <s v="TRUE"/>
  </r>
  <r>
    <x v="1"/>
    <s v="334"/>
    <x v="261"/>
    <x v="184"/>
    <e v="#N/A"/>
    <e v="#N/A"/>
    <e v="#N/A"/>
    <e v="#N/A"/>
    <e v="#N/A"/>
    <e v="#N/A"/>
    <s v="Integration Package"/>
    <m/>
    <s v="no technical license protection"/>
    <s v="6500"/>
    <n v="10"/>
    <m/>
    <s v="Calculated"/>
    <s v="FALSE"/>
    <m/>
    <s v="none"/>
    <s v="TRUE"/>
  </r>
  <r>
    <x v="1"/>
    <s v="335"/>
    <x v="262"/>
    <x v="185"/>
    <e v="#N/A"/>
    <e v="#N/A"/>
    <e v="#N/A"/>
    <e v="#N/A"/>
    <e v="#N/A"/>
    <e v="#N/A"/>
    <s v="Integration Package"/>
    <m/>
    <s v="no technical license protection"/>
    <s v="6500"/>
    <n v="10"/>
    <m/>
    <s v="Calculated"/>
    <s v="FALSE"/>
    <m/>
    <s v="none"/>
    <s v="TRUE"/>
  </r>
  <r>
    <x v="1"/>
    <s v="336"/>
    <x v="263"/>
    <x v="186"/>
    <e v="#N/A"/>
    <e v="#N/A"/>
    <e v="#N/A"/>
    <e v="#N/A"/>
    <e v="#N/A"/>
    <e v="#N/A"/>
    <s v="Integration Package"/>
    <m/>
    <s v="no technical license protection"/>
    <s v="6500"/>
    <n v="10"/>
    <m/>
    <s v="Calculated"/>
    <s v="FALSE"/>
    <m/>
    <s v="none"/>
    <s v="TRUE"/>
  </r>
  <r>
    <x v="1"/>
    <s v="337"/>
    <x v="264"/>
    <x v="187"/>
    <e v="#N/A"/>
    <e v="#N/A"/>
    <e v="#N/A"/>
    <e v="#N/A"/>
    <e v="#N/A"/>
    <e v="#N/A"/>
    <s v="Integration Package"/>
    <m/>
    <s v="no technical license protection"/>
    <s v="6500"/>
    <n v="10"/>
    <m/>
    <s v="Calculated"/>
    <s v="FALSE"/>
    <m/>
    <s v="none"/>
    <s v="TRUE"/>
  </r>
  <r>
    <x v="1"/>
    <s v="338"/>
    <x v="265"/>
    <x v="188"/>
    <e v="#N/A"/>
    <e v="#N/A"/>
    <e v="#N/A"/>
    <e v="#N/A"/>
    <e v="#N/A"/>
    <e v="#N/A"/>
    <s v="Integration Package"/>
    <m/>
    <s v="no technical license protection"/>
    <s v="6500"/>
    <n v="10"/>
    <m/>
    <s v="Calculated"/>
    <s v="FALSE"/>
    <m/>
    <s v="none"/>
    <s v="TRUE"/>
  </r>
  <r>
    <x v="1"/>
    <s v="339"/>
    <x v="266"/>
    <x v="189"/>
    <e v="#N/A"/>
    <e v="#N/A"/>
    <e v="#N/A"/>
    <e v="#N/A"/>
    <e v="#N/A"/>
    <e v="#N/A"/>
    <s v="Integration Package"/>
    <m/>
    <s v="no technical license protection"/>
    <s v="6500"/>
    <n v="10"/>
    <m/>
    <s v="Calculated"/>
    <s v="FALSE"/>
    <m/>
    <s v="none"/>
    <s v="TRUE"/>
  </r>
  <r>
    <x v="1"/>
    <s v="34"/>
    <x v="267"/>
    <x v="190"/>
    <e v="#N/A"/>
    <e v="#N/A"/>
    <e v="#N/A"/>
    <e v="#N/A"/>
    <e v="#N/A"/>
    <e v="#N/A"/>
    <s v="License"/>
    <m/>
    <s v="no technical license protection"/>
    <m/>
    <n v="10"/>
    <n v="50"/>
    <s v="Fix rate"/>
    <s v="FALSE"/>
    <m/>
    <s v="none"/>
    <s v="TRUE"/>
  </r>
  <r>
    <x v="1"/>
    <s v="340"/>
    <x v="268"/>
    <x v="27"/>
    <e v="#N/A"/>
    <e v="#N/A"/>
    <e v="#N/A"/>
    <e v="#N/A"/>
    <e v="#N/A"/>
    <e v="#N/A"/>
    <s v="License"/>
    <m/>
    <s v="FlexNet Publisher Server Activation Code"/>
    <s v="6400"/>
    <n v="10"/>
    <n v="50"/>
    <s v="Fix rate"/>
    <s v="TRUE"/>
    <m/>
    <s v="UpdateRightByConfiguration"/>
    <s v="TRUE"/>
  </r>
  <r>
    <x v="0"/>
    <s v="341"/>
    <x v="269"/>
    <x v="191"/>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342"/>
    <x v="270"/>
    <x v="192"/>
    <e v="#N/A"/>
    <e v="#N/A"/>
    <e v="#N/A"/>
    <e v="#N/A"/>
    <e v="#N/A"/>
    <e v="#N/A"/>
    <s v="Qualification Package"/>
    <m/>
    <s v="no technical license protection"/>
    <s v="6500"/>
    <n v="10"/>
    <m/>
    <s v="Calculated"/>
    <s v="FALSE"/>
    <m/>
    <s v="none"/>
    <s v="TRUE"/>
  </r>
  <r>
    <x v="1"/>
    <s v="343"/>
    <x v="271"/>
    <x v="193"/>
    <e v="#N/A"/>
    <e v="#N/A"/>
    <e v="#N/A"/>
    <e v="#N/A"/>
    <e v="#N/A"/>
    <e v="#N/A"/>
    <s v="Porting"/>
    <m/>
    <s v="no technical license protection"/>
    <s v="6500"/>
    <n v="10"/>
    <m/>
    <s v="Calculated"/>
    <s v="FALSE"/>
    <m/>
    <s v="none"/>
    <s v="TRUE"/>
  </r>
  <r>
    <x v="1"/>
    <s v="344"/>
    <x v="272"/>
    <x v="194"/>
    <e v="#N/A"/>
    <e v="#N/A"/>
    <e v="#N/A"/>
    <e v="#N/A"/>
    <e v="#N/A"/>
    <e v="#N/A"/>
    <s v="Porting"/>
    <m/>
    <s v="no technical license protection"/>
    <s v="6500"/>
    <n v="10"/>
    <m/>
    <s v="Calculated"/>
    <s v="FALSE"/>
    <m/>
    <s v="none"/>
    <s v="TRUE"/>
  </r>
  <r>
    <x v="1"/>
    <s v="345"/>
    <x v="273"/>
    <x v="195"/>
    <e v="#N/A"/>
    <e v="#N/A"/>
    <e v="#N/A"/>
    <e v="#N/A"/>
    <e v="#N/A"/>
    <e v="#N/A"/>
    <s v="Porting"/>
    <m/>
    <s v="no technical license protection"/>
    <s v="6500"/>
    <n v="10"/>
    <m/>
    <s v="Calculated"/>
    <s v="FALSE"/>
    <m/>
    <s v="none"/>
    <s v="TRUE"/>
  </r>
  <r>
    <x v="1"/>
    <s v="346"/>
    <x v="274"/>
    <x v="196"/>
    <e v="#N/A"/>
    <e v="#N/A"/>
    <e v="#N/A"/>
    <e v="#N/A"/>
    <e v="#N/A"/>
    <e v="#N/A"/>
    <s v="Porting"/>
    <m/>
    <s v="no technical license protection"/>
    <s v="6500"/>
    <n v="10"/>
    <m/>
    <s v="Calculated"/>
    <s v="FALSE"/>
    <m/>
    <s v="none"/>
    <s v="TRUE"/>
  </r>
  <r>
    <x v="1"/>
    <s v="347"/>
    <x v="275"/>
    <x v="192"/>
    <e v="#N/A"/>
    <e v="#N/A"/>
    <e v="#N/A"/>
    <e v="#N/A"/>
    <e v="#N/A"/>
    <e v="#N/A"/>
    <s v="Porting"/>
    <m/>
    <s v="no technical license protection"/>
    <s v="6500"/>
    <n v="10"/>
    <m/>
    <s v="Calculated"/>
    <s v="FALSE"/>
    <m/>
    <s v="none"/>
    <s v="TRUE"/>
  </r>
  <r>
    <x v="1"/>
    <s v="348"/>
    <x v="276"/>
    <x v="193"/>
    <e v="#N/A"/>
    <e v="#N/A"/>
    <e v="#N/A"/>
    <e v="#N/A"/>
    <e v="#N/A"/>
    <e v="#N/A"/>
    <s v="Porting"/>
    <m/>
    <s v="no technical license protection"/>
    <s v="6500"/>
    <n v="10"/>
    <m/>
    <s v="Calculated"/>
    <s v="FALSE"/>
    <m/>
    <s v="none"/>
    <s v="TRUE"/>
  </r>
  <r>
    <x v="1"/>
    <s v="349"/>
    <x v="277"/>
    <x v="194"/>
    <e v="#N/A"/>
    <e v="#N/A"/>
    <e v="#N/A"/>
    <e v="#N/A"/>
    <e v="#N/A"/>
    <e v="#N/A"/>
    <s v="Porting"/>
    <m/>
    <s v="no technical license protection"/>
    <s v="6500"/>
    <n v="10"/>
    <m/>
    <s v="Calculated"/>
    <s v="FALSE"/>
    <m/>
    <s v="none"/>
    <s v="TRUE"/>
  </r>
  <r>
    <x v="1"/>
    <s v="35"/>
    <x v="278"/>
    <x v="197"/>
    <e v="#N/A"/>
    <e v="#N/A"/>
    <e v="#N/A"/>
    <e v="#N/A"/>
    <e v="#N/A"/>
    <e v="#N/A"/>
    <s v="License"/>
    <m/>
    <s v="no technical license protection"/>
    <s v="6400"/>
    <n v="10"/>
    <n v="50"/>
    <s v="Fix rate"/>
    <s v="TRUE"/>
    <m/>
    <s v="UpdateRightByConfiguration"/>
    <s v="TRUE"/>
  </r>
  <r>
    <x v="1"/>
    <s v="350"/>
    <x v="279"/>
    <x v="196"/>
    <e v="#N/A"/>
    <e v="#N/A"/>
    <e v="#N/A"/>
    <e v="#N/A"/>
    <e v="#N/A"/>
    <e v="#N/A"/>
    <s v="Porting"/>
    <m/>
    <s v="no technical license protection"/>
    <s v="6500"/>
    <n v="10"/>
    <m/>
    <s v="Calculated"/>
    <s v="FALSE"/>
    <m/>
    <s v="none"/>
    <s v="TRUE"/>
  </r>
  <r>
    <x v="1"/>
    <s v="351"/>
    <x v="280"/>
    <x v="195"/>
    <e v="#N/A"/>
    <e v="#N/A"/>
    <e v="#N/A"/>
    <e v="#N/A"/>
    <e v="#N/A"/>
    <e v="#N/A"/>
    <s v="Porting"/>
    <m/>
    <s v="no technical license protection"/>
    <s v="6500"/>
    <n v="10"/>
    <m/>
    <s v="Calculated"/>
    <s v="FALSE"/>
    <m/>
    <s v="none"/>
    <s v="TRUE"/>
  </r>
  <r>
    <x v="1"/>
    <s v="352"/>
    <x v="281"/>
    <x v="192"/>
    <e v="#N/A"/>
    <e v="#N/A"/>
    <e v="#N/A"/>
    <e v="#N/A"/>
    <e v="#N/A"/>
    <e v="#N/A"/>
    <s v="Porting"/>
    <m/>
    <s v="no technical license protection"/>
    <s v="6500"/>
    <n v="10"/>
    <m/>
    <s v="Calculated"/>
    <s v="FALSE"/>
    <m/>
    <s v="none"/>
    <s v="TRUE"/>
  </r>
  <r>
    <x v="1"/>
    <s v="353"/>
    <x v="282"/>
    <x v="193"/>
    <e v="#N/A"/>
    <e v="#N/A"/>
    <e v="#N/A"/>
    <e v="#N/A"/>
    <e v="#N/A"/>
    <e v="#N/A"/>
    <s v="Porting"/>
    <m/>
    <s v="no technical license protection"/>
    <s v="6500"/>
    <n v="10"/>
    <m/>
    <s v="Calculated"/>
    <s v="FALSE"/>
    <m/>
    <s v="none"/>
    <s v="TRUE"/>
  </r>
  <r>
    <x v="1"/>
    <s v="354"/>
    <x v="283"/>
    <x v="194"/>
    <e v="#N/A"/>
    <e v="#N/A"/>
    <e v="#N/A"/>
    <e v="#N/A"/>
    <e v="#N/A"/>
    <e v="#N/A"/>
    <s v="Porting"/>
    <m/>
    <s v="no technical license protection"/>
    <s v="6500"/>
    <n v="10"/>
    <m/>
    <s v="Calculated"/>
    <s v="FALSE"/>
    <m/>
    <s v="none"/>
    <s v="TRUE"/>
  </r>
  <r>
    <x v="1"/>
    <s v="355"/>
    <x v="284"/>
    <x v="195"/>
    <e v="#N/A"/>
    <e v="#N/A"/>
    <e v="#N/A"/>
    <e v="#N/A"/>
    <e v="#N/A"/>
    <e v="#N/A"/>
    <s v="Porting"/>
    <m/>
    <s v="no technical license protection"/>
    <s v="6500"/>
    <n v="10"/>
    <m/>
    <s v="Calculated"/>
    <s v="FALSE"/>
    <m/>
    <s v="none"/>
    <s v="TRUE"/>
  </r>
  <r>
    <x v="1"/>
    <s v="356"/>
    <x v="285"/>
    <x v="196"/>
    <e v="#N/A"/>
    <e v="#N/A"/>
    <e v="#N/A"/>
    <e v="#N/A"/>
    <e v="#N/A"/>
    <e v="#N/A"/>
    <s v="Porting"/>
    <m/>
    <s v="no technical license protection"/>
    <s v="6500"/>
    <n v="10"/>
    <m/>
    <s v="Calculated"/>
    <s v="FALSE"/>
    <m/>
    <s v="none"/>
    <s v="TRUE"/>
  </r>
  <r>
    <x v="1"/>
    <s v="357"/>
    <x v="286"/>
    <x v="198"/>
    <e v="#N/A"/>
    <e v="#N/A"/>
    <e v="#N/A"/>
    <e v="#N/A"/>
    <e v="#N/A"/>
    <e v="#N/A"/>
    <s v="License"/>
    <m/>
    <s v="FlexNet Publisher Application Activation Code"/>
    <s v="6400"/>
    <n v="10"/>
    <m/>
    <s v="Calculated"/>
    <s v="TRUE"/>
    <m/>
    <s v="UpdateRightByConfiguration"/>
    <s v="TRUE"/>
  </r>
  <r>
    <x v="1"/>
    <s v="358"/>
    <x v="287"/>
    <x v="121"/>
    <e v="#N/A"/>
    <e v="#N/A"/>
    <e v="#N/A"/>
    <e v="#N/A"/>
    <e v="#N/A"/>
    <e v="#N/A"/>
    <s v="License"/>
    <m/>
    <s v="no technical license protection"/>
    <s v="6400"/>
    <n v="10"/>
    <n v="50"/>
    <s v="Fix rate"/>
    <s v="TRUE"/>
    <m/>
    <s v="none"/>
    <s v="TRUE"/>
  </r>
  <r>
    <x v="1"/>
    <s v="359"/>
    <x v="288"/>
    <x v="199"/>
    <e v="#N/A"/>
    <e v="#N/A"/>
    <e v="#N/A"/>
    <e v="#N/A"/>
    <e v="#N/A"/>
    <e v="#N/A"/>
    <s v="License"/>
    <m/>
    <s v="ADTF Node-Locked License File"/>
    <s v="6400"/>
    <n v="10"/>
    <n v="50"/>
    <s v="Fix rate"/>
    <s v="TRUE"/>
    <m/>
    <s v="none"/>
    <s v="TRUE"/>
  </r>
  <r>
    <x v="1"/>
    <s v="36"/>
    <x v="289"/>
    <x v="200"/>
    <e v="#N/A"/>
    <e v="#N/A"/>
    <e v="#N/A"/>
    <e v="#N/A"/>
    <e v="#N/A"/>
    <e v="#N/A"/>
    <s v="License"/>
    <m/>
    <s v="no technical license protection"/>
    <s v="6400"/>
    <n v="10"/>
    <n v="50"/>
    <s v="Fix rate"/>
    <s v="TRUE"/>
    <m/>
    <s v="TotalAmountAsUpdateRight"/>
    <s v="TRUE"/>
  </r>
  <r>
    <x v="1"/>
    <s v="360"/>
    <x v="290"/>
    <x v="40"/>
    <e v="#N/A"/>
    <e v="#N/A"/>
    <e v="#N/A"/>
    <e v="#N/A"/>
    <e v="#N/A"/>
    <e v="#N/A"/>
    <s v="License"/>
    <m/>
    <s v="FlexNet Publisher Server Activation Code"/>
    <s v="6400"/>
    <n v="10"/>
    <m/>
    <s v="Calculated"/>
    <s v="TRUE"/>
    <m/>
    <s v="UpdateRightByConfiguration"/>
    <s v="TRUE"/>
  </r>
  <r>
    <x v="1"/>
    <s v="361"/>
    <x v="291"/>
    <x v="105"/>
    <e v="#N/A"/>
    <e v="#N/A"/>
    <e v="#N/A"/>
    <e v="#N/A"/>
    <e v="#N/A"/>
    <e v="#N/A"/>
    <s v="License"/>
    <m/>
    <s v="FlexNet Publisher Server Activation Code"/>
    <s v="6400"/>
    <n v="10"/>
    <m/>
    <s v="Calculated"/>
    <s v="TRUE"/>
    <m/>
    <s v="TotalAmountAsUpdateRight"/>
    <s v="TRUE"/>
  </r>
  <r>
    <x v="1"/>
    <s v="362"/>
    <x v="292"/>
    <x v="201"/>
    <e v="#N/A"/>
    <e v="#N/A"/>
    <e v="#N/A"/>
    <e v="#N/A"/>
    <e v="#N/A"/>
    <e v="#N/A"/>
    <s v="License"/>
    <m/>
    <s v="FlexNet Publisher Server Activation Code"/>
    <s v="6400"/>
    <n v="10"/>
    <m/>
    <s v="Calculated"/>
    <s v="TRUE"/>
    <m/>
    <s v="UpdateRightByConfiguration"/>
    <s v="TRUE"/>
  </r>
  <r>
    <x v="1"/>
    <s v="363"/>
    <x v="293"/>
    <x v="105"/>
    <e v="#N/A"/>
    <e v="#N/A"/>
    <e v="#N/A"/>
    <e v="#N/A"/>
    <e v="#N/A"/>
    <e v="#N/A"/>
    <s v="License"/>
    <m/>
    <s v="FlexNet Publisher Server Activation Code"/>
    <s v="6400"/>
    <n v="10"/>
    <m/>
    <s v="Calculated"/>
    <s v="TRUE"/>
    <m/>
    <s v="TotalAmountAsUpdateRight"/>
    <s v="TRUE"/>
  </r>
  <r>
    <x v="1"/>
    <s v="364"/>
    <x v="294"/>
    <x v="5"/>
    <e v="#N/A"/>
    <e v="#N/A"/>
    <e v="#N/A"/>
    <e v="#N/A"/>
    <e v="#N/A"/>
    <e v="#N/A"/>
    <s v="License"/>
    <m/>
    <s v="no technical license protection"/>
    <s v="6400"/>
    <n v="10"/>
    <n v="50"/>
    <s v="Fix rate"/>
    <s v="FALSE"/>
    <m/>
    <s v="none"/>
    <s v="TRUE"/>
  </r>
  <r>
    <x v="0"/>
    <s v="365"/>
    <x v="295"/>
    <x v="5"/>
    <s v="n/a"/>
    <s v="n/a"/>
    <s v="In mutual alignment with the project"/>
    <s v="One-time payment"/>
    <s v="With FINAL DELIVERY"/>
    <s v="n/a"/>
    <s v="Integration Package"/>
    <m/>
    <s v="no technical license protection"/>
    <s v="6500"/>
    <n v="10"/>
    <m/>
    <s v="Calculated"/>
    <s v="FALSE"/>
    <m/>
    <s v="none"/>
    <s v="TRUE"/>
  </r>
  <r>
    <x v="1"/>
    <s v="366"/>
    <x v="296"/>
    <x v="5"/>
    <e v="#N/A"/>
    <e v="#N/A"/>
    <e v="#N/A"/>
    <e v="#N/A"/>
    <e v="#N/A"/>
    <e v="#N/A"/>
    <s v="Integration Package"/>
    <m/>
    <s v="no technical license protection"/>
    <s v="6500"/>
    <n v="10"/>
    <m/>
    <s v="Calculated"/>
    <s v="FALSE"/>
    <m/>
    <s v="none"/>
    <s v="TRUE"/>
  </r>
  <r>
    <x v="0"/>
    <s v="367"/>
    <x v="297"/>
    <x v="5"/>
    <s v="n/a"/>
    <s v="n/a"/>
    <s v="In mutual alignment with the project"/>
    <s v="One-time payment"/>
    <s v="With FINAL DELIVERY"/>
    <s v="n/a"/>
    <s v="Qualification Package"/>
    <m/>
    <s v="no technical license protection"/>
    <s v="6500"/>
    <n v="10"/>
    <m/>
    <s v="Calculated"/>
    <s v="FALSE"/>
    <m/>
    <s v="none"/>
    <s v="TRUE"/>
  </r>
  <r>
    <x v="0"/>
    <s v="368"/>
    <x v="298"/>
    <x v="5"/>
    <s v="n/a"/>
    <s v="n/a"/>
    <s v="In mutual alignment with the project"/>
    <s v="One-time payment"/>
    <s v="With FINAL DELIVERY"/>
    <s v="n/a"/>
    <s v="Qualification Package"/>
    <m/>
    <s v="no technical license protection"/>
    <s v="6500"/>
    <n v="10"/>
    <m/>
    <s v="Calculated"/>
    <s v="FALSE"/>
    <m/>
    <s v="none"/>
    <s v="TRUE"/>
  </r>
  <r>
    <x v="1"/>
    <s v="369"/>
    <x v="299"/>
    <x v="5"/>
    <e v="#N/A"/>
    <e v="#N/A"/>
    <e v="#N/A"/>
    <e v="#N/A"/>
    <e v="#N/A"/>
    <e v="#N/A"/>
    <s v="Integration Package"/>
    <m/>
    <s v="no technical license protection"/>
    <s v="6500"/>
    <n v="10"/>
    <m/>
    <s v="Calculated"/>
    <s v="FALSE"/>
    <m/>
    <s v="none"/>
    <s v="TRUE"/>
  </r>
  <r>
    <x v="1"/>
    <s v="37"/>
    <x v="300"/>
    <x v="202"/>
    <e v="#N/A"/>
    <e v="#N/A"/>
    <e v="#N/A"/>
    <e v="#N/A"/>
    <e v="#N/A"/>
    <e v="#N/A"/>
    <s v="License"/>
    <m/>
    <s v="no technical license protection"/>
    <s v="6400"/>
    <n v="10"/>
    <n v="50"/>
    <s v="Fix rate"/>
    <s v="TRUE"/>
    <m/>
    <s v="UpdateRightByConfiguration"/>
    <s v="TRUE"/>
  </r>
  <r>
    <x v="1"/>
    <s v="370"/>
    <x v="301"/>
    <x v="203"/>
    <e v="#N/A"/>
    <e v="#N/A"/>
    <e v="#N/A"/>
    <e v="#N/A"/>
    <e v="#N/A"/>
    <e v="#N/A"/>
    <s v="Integration Package"/>
    <m/>
    <s v="no technical license protection"/>
    <s v="6500"/>
    <n v="10"/>
    <m/>
    <s v="Calculated"/>
    <s v="FALSE"/>
    <m/>
    <s v="none"/>
    <s v="TRUE"/>
  </r>
  <r>
    <x v="0"/>
    <s v="371"/>
    <x v="302"/>
    <x v="181"/>
    <s v="12 months"/>
    <s v="n/a"/>
    <s v="FINALIZED PURCHASE PROCESS + 2 weeks"/>
    <s v="One-time payment"/>
    <s v="With FINAL DELIVERY"/>
    <s v="Evaluation and Demonstration License"/>
    <s v="License"/>
    <m/>
    <s v="no technical license protection"/>
    <s v="6400"/>
    <n v="10"/>
    <n v="50"/>
    <s v="Fix rate"/>
    <s v="FALSE"/>
    <m/>
    <s v="none"/>
    <s v="TRUE"/>
  </r>
  <r>
    <x v="1"/>
    <s v="372"/>
    <x v="303"/>
    <x v="204"/>
    <e v="#N/A"/>
    <e v="#N/A"/>
    <e v="#N/A"/>
    <e v="#N/A"/>
    <e v="#N/A"/>
    <e v="#N/A"/>
    <s v="License"/>
    <m/>
    <s v="no technical license protection"/>
    <s v="6400"/>
    <n v="10"/>
    <n v="50"/>
    <s v="Fix rate"/>
    <s v="TRUE"/>
    <m/>
    <s v="UpdateRightByConfiguration"/>
    <s v="TRUE"/>
  </r>
  <r>
    <x v="1"/>
    <s v="373"/>
    <x v="304"/>
    <x v="105"/>
    <e v="#N/A"/>
    <e v="#N/A"/>
    <e v="#N/A"/>
    <e v="#N/A"/>
    <e v="#N/A"/>
    <e v="#N/A"/>
    <s v="License"/>
    <m/>
    <s v="no technical license protection"/>
    <s v="6400"/>
    <n v="10"/>
    <n v="50"/>
    <s v="Fix rate"/>
    <s v="TRUE"/>
    <m/>
    <s v="TotalAmountAsUpdateRight"/>
    <s v="TRUE"/>
  </r>
  <r>
    <x v="1"/>
    <s v="374"/>
    <x v="305"/>
    <x v="205"/>
    <e v="#N/A"/>
    <e v="#N/A"/>
    <e v="#N/A"/>
    <e v="#N/A"/>
    <e v="#N/A"/>
    <e v="#N/A"/>
    <s v="License"/>
    <m/>
    <s v="no technical license protection"/>
    <s v="6400"/>
    <n v="10"/>
    <n v="50"/>
    <s v="Fix rate"/>
    <s v="TRUE"/>
    <m/>
    <s v="UpdateRightByConfiguration"/>
    <s v="TRUE"/>
  </r>
  <r>
    <x v="1"/>
    <s v="375"/>
    <x v="306"/>
    <x v="206"/>
    <e v="#N/A"/>
    <e v="#N/A"/>
    <e v="#N/A"/>
    <e v="#N/A"/>
    <e v="#N/A"/>
    <e v="#N/A"/>
    <s v="License"/>
    <m/>
    <s v="no technical license protection"/>
    <s v="6400"/>
    <n v="10"/>
    <n v="50"/>
    <s v="Fix rate"/>
    <s v="TRUE"/>
    <m/>
    <s v="UpdateRightByConfiguration"/>
    <s v="TRUE"/>
  </r>
  <r>
    <x v="1"/>
    <s v="376"/>
    <x v="307"/>
    <x v="5"/>
    <e v="#N/A"/>
    <e v="#N/A"/>
    <e v="#N/A"/>
    <e v="#N/A"/>
    <e v="#N/A"/>
    <e v="#N/A"/>
    <s v="Training"/>
    <m/>
    <s v="no technical license protection"/>
    <s v="6500"/>
    <n v="10"/>
    <m/>
    <s v="Calculated"/>
    <s v="FALSE"/>
    <m/>
    <s v="none"/>
    <s v="TRUE"/>
  </r>
  <r>
    <x v="1"/>
    <s v="377"/>
    <x v="308"/>
    <x v="5"/>
    <e v="#N/A"/>
    <e v="#N/A"/>
    <e v="#N/A"/>
    <e v="#N/A"/>
    <e v="#N/A"/>
    <e v="#N/A"/>
    <s v="Training"/>
    <m/>
    <s v="no technical license protection"/>
    <s v="6500"/>
    <n v="10"/>
    <m/>
    <s v="Calculated"/>
    <s v="FALSE"/>
    <m/>
    <s v="none"/>
    <s v="TRUE"/>
  </r>
  <r>
    <x v="1"/>
    <s v="378"/>
    <x v="309"/>
    <x v="5"/>
    <e v="#N/A"/>
    <e v="#N/A"/>
    <e v="#N/A"/>
    <e v="#N/A"/>
    <e v="#N/A"/>
    <e v="#N/A"/>
    <s v="Training"/>
    <m/>
    <s v="no technical license protection"/>
    <s v="6400"/>
    <n v="10"/>
    <m/>
    <s v="Calculated"/>
    <s v="FALSE"/>
    <m/>
    <s v="none"/>
    <s v="TRUE"/>
  </r>
  <r>
    <x v="1"/>
    <s v="379"/>
    <x v="310"/>
    <x v="48"/>
    <e v="#N/A"/>
    <e v="#N/A"/>
    <e v="#N/A"/>
    <e v="#N/A"/>
    <e v="#N/A"/>
    <e v="#N/A"/>
    <s v="License"/>
    <m/>
    <s v="ADTF Node-Locked License File"/>
    <s v="6400"/>
    <n v="10"/>
    <n v="50"/>
    <s v="Fix rate"/>
    <s v="TRUE"/>
    <m/>
    <s v="UpdateRightByConfiguration"/>
    <s v="TRUE"/>
  </r>
  <r>
    <x v="1"/>
    <s v="38"/>
    <x v="311"/>
    <x v="200"/>
    <e v="#N/A"/>
    <e v="#N/A"/>
    <e v="#N/A"/>
    <e v="#N/A"/>
    <e v="#N/A"/>
    <e v="#N/A"/>
    <s v="License"/>
    <m/>
    <s v="no technical license protection"/>
    <s v="6400"/>
    <n v="10"/>
    <n v="50"/>
    <s v="Fix rate"/>
    <s v="TRUE"/>
    <m/>
    <s v="TotalAmountAsUpdateRight"/>
    <s v="TRUE"/>
  </r>
  <r>
    <x v="1"/>
    <s v="380"/>
    <x v="312"/>
    <x v="48"/>
    <e v="#N/A"/>
    <e v="#N/A"/>
    <e v="#N/A"/>
    <e v="#N/A"/>
    <e v="#N/A"/>
    <e v="#N/A"/>
    <s v="License"/>
    <m/>
    <s v="ADTF Node-Locked License File"/>
    <s v="6400"/>
    <n v="10"/>
    <n v="50"/>
    <s v="Fix rate"/>
    <s v="TRUE"/>
    <m/>
    <s v="TotalAmountAsUpdateRight"/>
    <s v="TRUE"/>
  </r>
  <r>
    <x v="1"/>
    <s v="381"/>
    <x v="313"/>
    <x v="207"/>
    <e v="#N/A"/>
    <e v="#N/A"/>
    <e v="#N/A"/>
    <e v="#N/A"/>
    <e v="#N/A"/>
    <e v="#N/A"/>
    <s v="Porting"/>
    <m/>
    <s v="no technical license protection"/>
    <s v="6500"/>
    <n v="10"/>
    <m/>
    <s v="Calculated"/>
    <s v="FALSE"/>
    <m/>
    <s v="none"/>
    <s v="TRUE"/>
  </r>
  <r>
    <x v="1"/>
    <s v="382"/>
    <x v="314"/>
    <x v="208"/>
    <e v="#N/A"/>
    <e v="#N/A"/>
    <e v="#N/A"/>
    <e v="#N/A"/>
    <e v="#N/A"/>
    <e v="#N/A"/>
    <s v="License"/>
    <m/>
    <s v="no technical license protection"/>
    <s v="6400"/>
    <n v="10"/>
    <n v="50"/>
    <s v="Fix rate"/>
    <s v="TRUE"/>
    <n v="3"/>
    <s v="UpdateRightByConfiguration"/>
    <s v="TRUE"/>
  </r>
  <r>
    <x v="1"/>
    <s v="383"/>
    <x v="315"/>
    <x v="42"/>
    <e v="#N/A"/>
    <e v="#N/A"/>
    <e v="#N/A"/>
    <e v="#N/A"/>
    <e v="#N/A"/>
    <e v="#N/A"/>
    <s v="License"/>
    <m/>
    <s v="no technical license protection"/>
    <s v="6400"/>
    <n v="10"/>
    <n v="50"/>
    <s v="Fix rate"/>
    <s v="TRUE"/>
    <m/>
    <s v="TotalAmountAsUpdateRight"/>
    <s v="TRUE"/>
  </r>
  <r>
    <x v="0"/>
    <s v="384"/>
    <x v="316"/>
    <x v="209"/>
    <s v="n/a"/>
    <s v="12 months"/>
    <s v="n/a"/>
    <s v="Annual payment"/>
    <s v="Anually at the beginning of the extended period"/>
    <s v="n/a"/>
    <s v="License"/>
    <m/>
    <s v="no technical license protection"/>
    <s v="6400"/>
    <n v="10"/>
    <n v="50"/>
    <s v="Fix rate"/>
    <s v="FALSE"/>
    <m/>
    <s v="TotalAmountAsUpdateRight"/>
    <s v="TRUE"/>
  </r>
  <r>
    <x v="1"/>
    <s v="385"/>
    <x v="317"/>
    <x v="210"/>
    <e v="#N/A"/>
    <e v="#N/A"/>
    <e v="#N/A"/>
    <e v="#N/A"/>
    <e v="#N/A"/>
    <e v="#N/A"/>
    <s v="License"/>
    <m/>
    <s v="no technical license protection"/>
    <s v="6400"/>
    <n v="10"/>
    <n v="50"/>
    <s v="Fix rate"/>
    <s v="FALSE"/>
    <n v="10"/>
    <s v="UpdateRightByConfiguration"/>
    <s v="TRUE"/>
  </r>
  <r>
    <x v="1"/>
    <s v="386"/>
    <x v="318"/>
    <x v="211"/>
    <e v="#N/A"/>
    <e v="#N/A"/>
    <e v="#N/A"/>
    <e v="#N/A"/>
    <e v="#N/A"/>
    <e v="#N/A"/>
    <s v="License"/>
    <m/>
    <s v="no technical license protection"/>
    <s v="6400"/>
    <n v="10"/>
    <n v="50"/>
    <s v="Fix rate"/>
    <s v="FALSE"/>
    <m/>
    <s v="UpdateRightByConfiguration"/>
    <s v="TRUE"/>
  </r>
  <r>
    <x v="1"/>
    <s v="387"/>
    <x v="319"/>
    <x v="212"/>
    <e v="#N/A"/>
    <e v="#N/A"/>
    <e v="#N/A"/>
    <e v="#N/A"/>
    <e v="#N/A"/>
    <e v="#N/A"/>
    <s v="License"/>
    <m/>
    <s v="ADTF Node-Locked License File"/>
    <s v="6400"/>
    <n v="10"/>
    <m/>
    <s v="Calculated"/>
    <s v="FALSE"/>
    <m/>
    <s v="none"/>
    <s v="TRUE"/>
  </r>
  <r>
    <x v="1"/>
    <s v="388"/>
    <x v="320"/>
    <x v="212"/>
    <e v="#N/A"/>
    <e v="#N/A"/>
    <e v="#N/A"/>
    <e v="#N/A"/>
    <e v="#N/A"/>
    <e v="#N/A"/>
    <s v="License"/>
    <m/>
    <s v="ADTF Node-Locked License File"/>
    <s v="6400"/>
    <n v="10"/>
    <m/>
    <s v="Calculated"/>
    <s v="FALSE"/>
    <m/>
    <s v="none"/>
    <s v="TRUE"/>
  </r>
  <r>
    <x v="1"/>
    <s v="389"/>
    <x v="321"/>
    <x v="212"/>
    <e v="#N/A"/>
    <e v="#N/A"/>
    <e v="#N/A"/>
    <e v="#N/A"/>
    <e v="#N/A"/>
    <e v="#N/A"/>
    <s v="License"/>
    <m/>
    <s v="ADTF Node-Locked License File"/>
    <s v="6400"/>
    <n v="10"/>
    <m/>
    <s v="Calculated"/>
    <s v="FALSE"/>
    <m/>
    <s v="none"/>
    <s v="TRUE"/>
  </r>
  <r>
    <x v="1"/>
    <s v="39"/>
    <x v="322"/>
    <x v="213"/>
    <e v="#N/A"/>
    <e v="#N/A"/>
    <e v="#N/A"/>
    <e v="#N/A"/>
    <e v="#N/A"/>
    <e v="#N/A"/>
    <s v="License"/>
    <m/>
    <s v="no technical license protection"/>
    <s v="6400"/>
    <n v="10"/>
    <n v="50"/>
    <s v="Fix rate"/>
    <s v="TRUE"/>
    <m/>
    <s v="UpdateRightByConfiguration"/>
    <s v="TRUE"/>
  </r>
  <r>
    <x v="1"/>
    <s v="390"/>
    <x v="323"/>
    <x v="5"/>
    <s v="3 months"/>
    <s v="n/a"/>
    <e v="#N/A"/>
    <e v="#N/A"/>
    <e v="#N/A"/>
    <s v="n/a"/>
    <s v="Product related service without profile"/>
    <m/>
    <s v="no technical license protection"/>
    <s v="6400"/>
    <n v="10"/>
    <m/>
    <s v="Calculated"/>
    <s v="FALSE"/>
    <m/>
    <s v="none"/>
    <s v="TRUE"/>
  </r>
  <r>
    <x v="1"/>
    <s v="391"/>
    <x v="324"/>
    <x v="214"/>
    <s v="perpetual"/>
    <s v="12 months"/>
    <e v="#N/A"/>
    <e v="#N/A"/>
    <e v="#N/A"/>
    <e v="#N/A"/>
    <s v="License"/>
    <m/>
    <s v="no technical license protection"/>
    <s v="6400"/>
    <n v="10"/>
    <n v="50"/>
    <s v="Fix rate"/>
    <s v="TRUE"/>
    <m/>
    <s v="UpdateRightByConfiguration"/>
    <s v="TRUE"/>
  </r>
  <r>
    <x v="1"/>
    <s v="392"/>
    <x v="325"/>
    <x v="5"/>
    <s v="3 months"/>
    <s v="12 months"/>
    <e v="#N/A"/>
    <e v="#N/A"/>
    <e v="#N/A"/>
    <e v="#N/A"/>
    <s v="License"/>
    <m/>
    <s v="no technical license protection"/>
    <s v="6400"/>
    <n v="10"/>
    <n v="50"/>
    <s v="Fix rate"/>
    <s v="TRUE"/>
    <m/>
    <s v="UpdateRightByConfiguration"/>
    <s v="TRUE"/>
  </r>
  <r>
    <x v="1"/>
    <s v="393"/>
    <x v="326"/>
    <x v="215"/>
    <s v="perpetual"/>
    <s v="n/a"/>
    <e v="#N/A"/>
    <e v="#N/A"/>
    <e v="#N/A"/>
    <e v="#N/A"/>
    <s v="License"/>
    <m/>
    <s v="no technical license protection"/>
    <s v="6400"/>
    <n v="10"/>
    <n v="50"/>
    <s v="Fix rate"/>
    <s v="TRUE"/>
    <m/>
    <s v="none"/>
    <s v="TRUE"/>
  </r>
  <r>
    <x v="1"/>
    <s v="394"/>
    <x v="327"/>
    <x v="5"/>
    <s v="perpetual"/>
    <s v="n/a"/>
    <e v="#N/A"/>
    <e v="#N/A"/>
    <e v="#N/A"/>
    <e v="#N/A"/>
    <s v="License"/>
    <m/>
    <s v="no technical license protection"/>
    <s v="6400"/>
    <n v="10"/>
    <n v="50"/>
    <s v="Fix rate"/>
    <s v="FALSE"/>
    <m/>
    <s v="none"/>
    <s v="TRUE"/>
  </r>
  <r>
    <x v="0"/>
    <s v="395"/>
    <x v="328"/>
    <x v="216"/>
    <s v="3 months"/>
    <s v="n/a"/>
    <s v="n/a"/>
    <s v="One-time payment"/>
    <s v="With FINAL DELIVERY"/>
    <s v="n/a"/>
    <s v="Product related service without profile"/>
    <m/>
    <s v="no technical license protection"/>
    <s v="6400"/>
    <n v="10"/>
    <m/>
    <s v="Calculated"/>
    <s v="FALSE"/>
    <n v="10"/>
    <s v="none"/>
    <s v="TRUE"/>
  </r>
  <r>
    <x v="1"/>
    <s v="396"/>
    <x v="329"/>
    <x v="217"/>
    <e v="#N/A"/>
    <e v="#N/A"/>
    <e v="#N/A"/>
    <e v="#N/A"/>
    <e v="#N/A"/>
    <e v="#N/A"/>
    <s v="License"/>
    <m/>
    <s v="no technical license protection"/>
    <s v="6400"/>
    <n v="10"/>
    <n v="50"/>
    <s v="Fix rate"/>
    <s v="TRUE"/>
    <m/>
    <s v="TotalAmountAsUpdateRight"/>
    <s v="TRUE"/>
  </r>
  <r>
    <x v="1"/>
    <s v="397"/>
    <x v="330"/>
    <x v="39"/>
    <e v="#N/A"/>
    <e v="#N/A"/>
    <e v="#N/A"/>
    <e v="#N/A"/>
    <e v="#N/A"/>
    <e v="#N/A"/>
    <s v="License"/>
    <m/>
    <s v="no technical license protection"/>
    <s v="6400"/>
    <n v="10"/>
    <n v="50"/>
    <s v="Fix rate"/>
    <s v="TRUE"/>
    <n v="3"/>
    <s v="UpdateRightByConfiguration"/>
    <s v="TRUE"/>
  </r>
  <r>
    <x v="1"/>
    <s v="398"/>
    <x v="331"/>
    <x v="42"/>
    <e v="#N/A"/>
    <e v="#N/A"/>
    <e v="#N/A"/>
    <e v="#N/A"/>
    <e v="#N/A"/>
    <e v="#N/A"/>
    <s v="License"/>
    <m/>
    <s v="no technical license protection"/>
    <s v="6400"/>
    <n v="10"/>
    <n v="50"/>
    <s v="Fix rate"/>
    <s v="TRUE"/>
    <m/>
    <s v="TotalAmountAsUpdateRight"/>
    <s v="TRUE"/>
  </r>
  <r>
    <x v="1"/>
    <s v="399"/>
    <x v="332"/>
    <x v="218"/>
    <e v="#N/A"/>
    <e v="#N/A"/>
    <e v="#N/A"/>
    <e v="#N/A"/>
    <e v="#N/A"/>
    <e v="#N/A"/>
    <s v="License"/>
    <m/>
    <s v="no technical license protection"/>
    <s v="6400"/>
    <n v="10"/>
    <n v="50"/>
    <s v="Fix rate"/>
    <s v="TRUE"/>
    <n v="3"/>
    <s v="UpdateRightByConfiguration"/>
    <s v="TRUE"/>
  </r>
  <r>
    <x v="0"/>
    <s v="4"/>
    <x v="333"/>
    <x v="219"/>
    <s v="n/a"/>
    <s v="12 months"/>
    <s v="n/a"/>
    <s v="Annual payment"/>
    <s v="Anually at the beginning of the extended period"/>
    <s v="n/a"/>
    <s v="License"/>
    <m/>
    <s v="FlexNet Publisher Server Activation Code"/>
    <s v="6400"/>
    <n v="10"/>
    <n v="50"/>
    <s v="Fix rate"/>
    <s v="FALSE"/>
    <m/>
    <s v="TotalAmountAsUpdateRight"/>
    <s v="TRUE"/>
  </r>
  <r>
    <x v="1"/>
    <s v="40"/>
    <x v="334"/>
    <x v="200"/>
    <e v="#N/A"/>
    <e v="#N/A"/>
    <e v="#N/A"/>
    <e v="#N/A"/>
    <e v="#N/A"/>
    <e v="#N/A"/>
    <s v="License"/>
    <m/>
    <s v="no technical license protection"/>
    <s v="6400"/>
    <n v="10"/>
    <n v="50"/>
    <s v="Fix rate"/>
    <s v="TRUE"/>
    <m/>
    <s v="TotalAmountAsUpdateRight"/>
    <s v="TRUE"/>
  </r>
  <r>
    <x v="1"/>
    <s v="400"/>
    <x v="335"/>
    <x v="220"/>
    <e v="#N/A"/>
    <e v="#N/A"/>
    <e v="#N/A"/>
    <e v="#N/A"/>
    <e v="#N/A"/>
    <e v="#N/A"/>
    <s v="License"/>
    <m/>
    <s v="no technical license protection"/>
    <s v="6400"/>
    <n v="10"/>
    <n v="50"/>
    <s v="Fix rate"/>
    <s v="TRUE"/>
    <m/>
    <s v="TotalAmountAsUpdateRight"/>
    <s v="TRUE"/>
  </r>
  <r>
    <x v="1"/>
    <s v="401"/>
    <x v="336"/>
    <x v="221"/>
    <e v="#N/A"/>
    <e v="#N/A"/>
    <e v="#N/A"/>
    <e v="#N/A"/>
    <e v="#N/A"/>
    <e v="#N/A"/>
    <s v="License"/>
    <m/>
    <s v="no technical license protection"/>
    <s v="6400"/>
    <n v="10"/>
    <n v="50"/>
    <s v="Fix rate"/>
    <s v="FALSE"/>
    <m/>
    <s v="UpdateRightByConfiguration"/>
    <s v="TRUE"/>
  </r>
  <r>
    <x v="1"/>
    <s v="402"/>
    <x v="337"/>
    <x v="222"/>
    <e v="#N/A"/>
    <e v="#N/A"/>
    <e v="#N/A"/>
    <e v="#N/A"/>
    <e v="#N/A"/>
    <e v="#N/A"/>
    <s v="License"/>
    <m/>
    <s v="no technical license protection"/>
    <s v="6400"/>
    <n v="10"/>
    <n v="50"/>
    <s v="Fix rate"/>
    <s v="FALSE"/>
    <m/>
    <s v="UpdateRightByConfiguration"/>
    <s v="TRUE"/>
  </r>
  <r>
    <x v="1"/>
    <s v="403"/>
    <x v="338"/>
    <x v="223"/>
    <e v="#N/A"/>
    <e v="#N/A"/>
    <e v="#N/A"/>
    <e v="#N/A"/>
    <e v="#N/A"/>
    <e v="#N/A"/>
    <s v="Product related service without profile"/>
    <m/>
    <s v="no technical license protection"/>
    <s v="6400"/>
    <n v="10"/>
    <m/>
    <s v="Calculated"/>
    <s v="FALSE"/>
    <n v="10"/>
    <s v="none"/>
    <s v="TRUE"/>
  </r>
  <r>
    <x v="1"/>
    <s v="404"/>
    <x v="339"/>
    <x v="224"/>
    <e v="#N/A"/>
    <e v="#N/A"/>
    <e v="#N/A"/>
    <e v="#N/A"/>
    <e v="#N/A"/>
    <e v="#N/A"/>
    <s v="Product related service without profile"/>
    <m/>
    <s v="no technical license protection"/>
    <s v="6400"/>
    <n v="10"/>
    <m/>
    <s v="Calculated"/>
    <s v="FALSE"/>
    <n v="10"/>
    <s v="none"/>
    <s v="TRUE"/>
  </r>
  <r>
    <x v="1"/>
    <s v="405"/>
    <x v="340"/>
    <x v="225"/>
    <e v="#N/A"/>
    <e v="#N/A"/>
    <e v="#N/A"/>
    <e v="#N/A"/>
    <e v="#N/A"/>
    <e v="#N/A"/>
    <s v="License"/>
    <m/>
    <s v="no technical license protection"/>
    <s v="6400"/>
    <n v="10"/>
    <n v="50"/>
    <s v="Fix rate"/>
    <s v="FALSE"/>
    <n v="0"/>
    <s v="none"/>
    <s v="TRUE"/>
  </r>
  <r>
    <x v="1"/>
    <s v="406"/>
    <x v="341"/>
    <x v="226"/>
    <e v="#N/A"/>
    <e v="#N/A"/>
    <e v="#N/A"/>
    <e v="#N/A"/>
    <e v="#N/A"/>
    <e v="#N/A"/>
    <s v="License"/>
    <m/>
    <s v="no technical license protection"/>
    <s v="6400"/>
    <n v="10"/>
    <n v="50"/>
    <s v="Fix rate"/>
    <s v="FALSE"/>
    <n v="0"/>
    <s v="TotalAmountAsUpdateRight"/>
    <s v="TRUE"/>
  </r>
  <r>
    <x v="1"/>
    <s v="407"/>
    <x v="342"/>
    <x v="227"/>
    <e v="#N/A"/>
    <e v="#N/A"/>
    <e v="#N/A"/>
    <e v="#N/A"/>
    <e v="#N/A"/>
    <e v="#N/A"/>
    <s v="License"/>
    <m/>
    <s v="no technical license protection"/>
    <s v="6400"/>
    <n v="10"/>
    <n v="50"/>
    <s v="Fix rate"/>
    <s v="TRUE"/>
    <m/>
    <s v="none"/>
    <s v="TRUE"/>
  </r>
  <r>
    <x v="1"/>
    <s v="408"/>
    <x v="343"/>
    <x v="228"/>
    <e v="#N/A"/>
    <e v="#N/A"/>
    <e v="#N/A"/>
    <e v="#N/A"/>
    <e v="#N/A"/>
    <e v="#N/A"/>
    <s v="License"/>
    <m/>
    <s v="no technical license protection"/>
    <s v="6400"/>
    <n v="10"/>
    <n v="50"/>
    <s v="Fix rate"/>
    <s v="TRUE"/>
    <m/>
    <s v="none"/>
    <s v="TRUE"/>
  </r>
  <r>
    <x v="1"/>
    <s v="409"/>
    <x v="344"/>
    <x v="228"/>
    <e v="#N/A"/>
    <e v="#N/A"/>
    <e v="#N/A"/>
    <e v="#N/A"/>
    <e v="#N/A"/>
    <e v="#N/A"/>
    <s v="License"/>
    <m/>
    <s v="no technical license protection"/>
    <s v="6400"/>
    <n v="10"/>
    <n v="50"/>
    <s v="Fix rate"/>
    <s v="TRUE"/>
    <m/>
    <s v="none"/>
    <s v="TRUE"/>
  </r>
  <r>
    <x v="1"/>
    <s v="41"/>
    <x v="345"/>
    <x v="229"/>
    <e v="#N/A"/>
    <e v="#N/A"/>
    <e v="#N/A"/>
    <e v="#N/A"/>
    <e v="#N/A"/>
    <e v="#N/A"/>
    <s v="License"/>
    <m/>
    <s v="no technical license protection"/>
    <s v="6400"/>
    <n v="10"/>
    <n v="50"/>
    <s v="Fix rate"/>
    <s v="TRUE"/>
    <m/>
    <s v="UpdateRightByConfiguration"/>
    <s v="TRUE"/>
  </r>
  <r>
    <x v="1"/>
    <s v="410"/>
    <x v="346"/>
    <x v="228"/>
    <e v="#N/A"/>
    <e v="#N/A"/>
    <e v="#N/A"/>
    <e v="#N/A"/>
    <e v="#N/A"/>
    <e v="#N/A"/>
    <s v="License"/>
    <m/>
    <s v="no technical license protection"/>
    <s v="6400"/>
    <n v="10"/>
    <n v="50"/>
    <s v="Fix rate"/>
    <s v="TRUE"/>
    <m/>
    <s v="none"/>
    <s v="TRUE"/>
  </r>
  <r>
    <x v="1"/>
    <s v="411"/>
    <x v="347"/>
    <x v="228"/>
    <e v="#N/A"/>
    <e v="#N/A"/>
    <e v="#N/A"/>
    <e v="#N/A"/>
    <e v="#N/A"/>
    <e v="#N/A"/>
    <s v="License"/>
    <m/>
    <s v="no technical license protection"/>
    <s v="6400"/>
    <n v="10"/>
    <n v="50"/>
    <s v="Fix rate"/>
    <s v="TRUE"/>
    <m/>
    <s v="none"/>
    <s v="TRUE"/>
  </r>
  <r>
    <x v="1"/>
    <s v="412"/>
    <x v="348"/>
    <x v="230"/>
    <e v="#N/A"/>
    <e v="#N/A"/>
    <e v="#N/A"/>
    <e v="#N/A"/>
    <e v="#N/A"/>
    <e v="#N/A"/>
    <s v="License"/>
    <m/>
    <s v="no technical license protection"/>
    <s v="6400"/>
    <n v="10"/>
    <n v="50"/>
    <s v="Fix rate"/>
    <s v="FALSE"/>
    <m/>
    <s v="none"/>
    <s v="TRUE"/>
  </r>
  <r>
    <x v="1"/>
    <s v="413"/>
    <x v="349"/>
    <x v="231"/>
    <e v="#N/A"/>
    <e v="#N/A"/>
    <e v="#N/A"/>
    <e v="#N/A"/>
    <e v="#N/A"/>
    <e v="#N/A"/>
    <s v="Porting"/>
    <m/>
    <s v="no technical license protection"/>
    <s v="6500"/>
    <n v="10"/>
    <m/>
    <s v="Calculated"/>
    <s v="FALSE"/>
    <m/>
    <s v="none"/>
    <s v="TRUE"/>
  </r>
  <r>
    <x v="1"/>
    <s v="414"/>
    <x v="350"/>
    <x v="232"/>
    <e v="#N/A"/>
    <e v="#N/A"/>
    <e v="#N/A"/>
    <e v="#N/A"/>
    <e v="#N/A"/>
    <e v="#N/A"/>
    <s v="License"/>
    <m/>
    <s v="no technical license protection"/>
    <s v="6400"/>
    <n v="10"/>
    <n v="50"/>
    <s v="Fix rate"/>
    <s v="TRUE"/>
    <m/>
    <s v="UpdateRightByConfiguration"/>
    <s v="TRUE"/>
  </r>
  <r>
    <x v="1"/>
    <s v="415"/>
    <x v="351"/>
    <x v="233"/>
    <e v="#N/A"/>
    <e v="#N/A"/>
    <e v="#N/A"/>
    <e v="#N/A"/>
    <e v="#N/A"/>
    <e v="#N/A"/>
    <s v="License"/>
    <m/>
    <s v="no technical license protection"/>
    <s v="6400"/>
    <n v="10"/>
    <n v="50"/>
    <s v="Fix rate"/>
    <s v="FALSE"/>
    <m/>
    <s v="none"/>
    <s v="TRUE"/>
  </r>
  <r>
    <x v="1"/>
    <s v="416"/>
    <x v="352"/>
    <x v="234"/>
    <e v="#N/A"/>
    <e v="#N/A"/>
    <e v="#N/A"/>
    <e v="#N/A"/>
    <e v="#N/A"/>
    <e v="#N/A"/>
    <s v="License"/>
    <m/>
    <s v="no technical license protection"/>
    <s v="6400"/>
    <n v="10"/>
    <n v="50"/>
    <s v="Fix rate"/>
    <s v="FALSE"/>
    <m/>
    <s v="none"/>
    <s v="TRUE"/>
  </r>
  <r>
    <x v="1"/>
    <s v="417"/>
    <x v="353"/>
    <x v="234"/>
    <e v="#N/A"/>
    <e v="#N/A"/>
    <e v="#N/A"/>
    <e v="#N/A"/>
    <e v="#N/A"/>
    <e v="#N/A"/>
    <s v="License"/>
    <m/>
    <s v="no technical license protection"/>
    <s v="6400"/>
    <n v="10"/>
    <n v="50"/>
    <s v="Fix rate"/>
    <s v="FALSE"/>
    <m/>
    <s v="none"/>
    <s v="TRUE"/>
  </r>
  <r>
    <x v="1"/>
    <s v="418"/>
    <x v="354"/>
    <x v="234"/>
    <e v="#N/A"/>
    <e v="#N/A"/>
    <e v="#N/A"/>
    <e v="#N/A"/>
    <e v="#N/A"/>
    <e v="#N/A"/>
    <s v="License"/>
    <m/>
    <s v="no technical license protection"/>
    <s v="6400"/>
    <n v="10"/>
    <n v="50"/>
    <s v="Fix rate"/>
    <s v="FALSE"/>
    <m/>
    <s v="none"/>
    <s v="TRUE"/>
  </r>
  <r>
    <x v="1"/>
    <s v="419"/>
    <x v="355"/>
    <x v="234"/>
    <e v="#N/A"/>
    <e v="#N/A"/>
    <e v="#N/A"/>
    <e v="#N/A"/>
    <e v="#N/A"/>
    <e v="#N/A"/>
    <s v="License"/>
    <m/>
    <s v="no technical license protection"/>
    <s v="6400"/>
    <n v="10"/>
    <n v="50"/>
    <s v="Fix rate"/>
    <s v="FALSE"/>
    <m/>
    <s v="none"/>
    <s v="TRUE"/>
  </r>
  <r>
    <x v="1"/>
    <s v="42"/>
    <x v="356"/>
    <x v="235"/>
    <e v="#N/A"/>
    <e v="#N/A"/>
    <e v="#N/A"/>
    <e v="#N/A"/>
    <e v="#N/A"/>
    <e v="#N/A"/>
    <s v="License"/>
    <m/>
    <s v="no technical license protection"/>
    <s v="6400"/>
    <n v="10"/>
    <n v="50"/>
    <s v="Fix rate"/>
    <s v="TRUE"/>
    <m/>
    <s v="TotalAmountAsUpdateRight"/>
    <s v="TRUE"/>
  </r>
  <r>
    <x v="1"/>
    <s v="420"/>
    <x v="357"/>
    <x v="234"/>
    <e v="#N/A"/>
    <e v="#N/A"/>
    <e v="#N/A"/>
    <e v="#N/A"/>
    <e v="#N/A"/>
    <e v="#N/A"/>
    <s v="License"/>
    <m/>
    <s v="no technical license protection"/>
    <s v="6400"/>
    <n v="10"/>
    <n v="50"/>
    <s v="Fix rate"/>
    <s v="FALSE"/>
    <m/>
    <s v="none"/>
    <s v="TRUE"/>
  </r>
  <r>
    <x v="1"/>
    <s v="421"/>
    <x v="358"/>
    <x v="234"/>
    <e v="#N/A"/>
    <e v="#N/A"/>
    <e v="#N/A"/>
    <e v="#N/A"/>
    <e v="#N/A"/>
    <e v="#N/A"/>
    <s v="License"/>
    <m/>
    <s v="no technical license protection"/>
    <s v="6400"/>
    <n v="10"/>
    <n v="50"/>
    <s v="Fix rate"/>
    <s v="FALSE"/>
    <m/>
    <s v="none"/>
    <s v="TRUE"/>
  </r>
  <r>
    <x v="1"/>
    <s v="422"/>
    <x v="359"/>
    <x v="234"/>
    <e v="#N/A"/>
    <e v="#N/A"/>
    <e v="#N/A"/>
    <e v="#N/A"/>
    <e v="#N/A"/>
    <e v="#N/A"/>
    <s v="License"/>
    <m/>
    <s v="no technical license protection"/>
    <s v="6400"/>
    <n v="10"/>
    <n v="50"/>
    <s v="Fix rate"/>
    <s v="FALSE"/>
    <m/>
    <s v="none"/>
    <s v="TRUE"/>
  </r>
  <r>
    <x v="1"/>
    <s v="423"/>
    <x v="360"/>
    <x v="236"/>
    <e v="#N/A"/>
    <e v="#N/A"/>
    <e v="#N/A"/>
    <e v="#N/A"/>
    <e v="#N/A"/>
    <e v="#N/A"/>
    <s v="License"/>
    <m/>
    <s v="no technical license protection"/>
    <s v="6400"/>
    <n v="10"/>
    <n v="50"/>
    <s v="Fix rate"/>
    <s v="FALSE"/>
    <m/>
    <s v="none"/>
    <s v="TRUE"/>
  </r>
  <r>
    <x v="1"/>
    <s v="424"/>
    <x v="361"/>
    <x v="236"/>
    <e v="#N/A"/>
    <e v="#N/A"/>
    <e v="#N/A"/>
    <e v="#N/A"/>
    <e v="#N/A"/>
    <e v="#N/A"/>
    <s v="License"/>
    <m/>
    <s v="no technical license protection"/>
    <s v="6400"/>
    <n v="10"/>
    <n v="50"/>
    <s v="Fix rate"/>
    <s v="FALSE"/>
    <m/>
    <s v="none"/>
    <s v="TRUE"/>
  </r>
  <r>
    <x v="1"/>
    <s v="425"/>
    <x v="362"/>
    <x v="236"/>
    <e v="#N/A"/>
    <e v="#N/A"/>
    <e v="#N/A"/>
    <e v="#N/A"/>
    <e v="#N/A"/>
    <e v="#N/A"/>
    <s v="License"/>
    <m/>
    <s v="no technical license protection"/>
    <s v="6400"/>
    <n v="10"/>
    <n v="50"/>
    <s v="Fix rate"/>
    <s v="FALSE"/>
    <m/>
    <s v="none"/>
    <s v="TRUE"/>
  </r>
  <r>
    <x v="1"/>
    <s v="426"/>
    <x v="363"/>
    <x v="236"/>
    <e v="#N/A"/>
    <e v="#N/A"/>
    <e v="#N/A"/>
    <e v="#N/A"/>
    <e v="#N/A"/>
    <e v="#N/A"/>
    <s v="License"/>
    <m/>
    <s v="no technical license protection"/>
    <s v="6400"/>
    <n v="10"/>
    <n v="50"/>
    <s v="Fix rate"/>
    <s v="FALSE"/>
    <m/>
    <s v="none"/>
    <s v="TRUE"/>
  </r>
  <r>
    <x v="1"/>
    <s v="427"/>
    <x v="364"/>
    <x v="236"/>
    <e v="#N/A"/>
    <e v="#N/A"/>
    <e v="#N/A"/>
    <e v="#N/A"/>
    <e v="#N/A"/>
    <e v="#N/A"/>
    <s v="License"/>
    <m/>
    <s v="no technical license protection"/>
    <s v="6400"/>
    <n v="10"/>
    <n v="50"/>
    <s v="Fix rate"/>
    <s v="FALSE"/>
    <m/>
    <s v="none"/>
    <s v="TRUE"/>
  </r>
  <r>
    <x v="1"/>
    <s v="428"/>
    <x v="365"/>
    <x v="236"/>
    <e v="#N/A"/>
    <e v="#N/A"/>
    <e v="#N/A"/>
    <e v="#N/A"/>
    <e v="#N/A"/>
    <e v="#N/A"/>
    <s v="License"/>
    <m/>
    <s v="no technical license protection"/>
    <s v="6400"/>
    <n v="10"/>
    <n v="50"/>
    <s v="Fix rate"/>
    <s v="FALSE"/>
    <m/>
    <s v="none"/>
    <s v="TRUE"/>
  </r>
  <r>
    <x v="1"/>
    <s v="429"/>
    <x v="350"/>
    <x v="232"/>
    <e v="#N/A"/>
    <e v="#N/A"/>
    <e v="#N/A"/>
    <e v="#N/A"/>
    <e v="#N/A"/>
    <e v="#N/A"/>
    <s v="License"/>
    <m/>
    <s v="no technical license protection"/>
    <m/>
    <n v="10"/>
    <n v="50"/>
    <s v="Fix rate"/>
    <s v="TRUE"/>
    <m/>
    <e v="#N/A"/>
    <s v="TRUE"/>
  </r>
  <r>
    <x v="1"/>
    <s v="43"/>
    <x v="366"/>
    <x v="237"/>
    <e v="#N/A"/>
    <e v="#N/A"/>
    <e v="#N/A"/>
    <e v="#N/A"/>
    <e v="#N/A"/>
    <e v="#N/A"/>
    <s v="License"/>
    <m/>
    <s v="no technical license protection"/>
    <s v="6400"/>
    <n v="10"/>
    <n v="50"/>
    <s v="Fix rate"/>
    <s v="TRUE"/>
    <m/>
    <s v="UpdateRightByConfiguration"/>
    <s v="TRUE"/>
  </r>
  <r>
    <x v="1"/>
    <s v="430"/>
    <x v="367"/>
    <x v="238"/>
    <e v="#N/A"/>
    <e v="#N/A"/>
    <e v="#N/A"/>
    <e v="#N/A"/>
    <e v="#N/A"/>
    <e v="#N/A"/>
    <s v="License"/>
    <m/>
    <s v="no technical license protection"/>
    <s v="6400"/>
    <n v="10"/>
    <n v="50"/>
    <s v="Fix rate"/>
    <s v="TRUE"/>
    <m/>
    <s v="UpdateRightByConfiguration"/>
    <s v="TRUE"/>
  </r>
  <r>
    <x v="1"/>
    <s v="431"/>
    <x v="368"/>
    <x v="239"/>
    <e v="#N/A"/>
    <e v="#N/A"/>
    <e v="#N/A"/>
    <e v="#N/A"/>
    <e v="#N/A"/>
    <e v="#N/A"/>
    <s v="License"/>
    <m/>
    <s v="no technical license protection"/>
    <m/>
    <n v="10"/>
    <n v="50"/>
    <s v="Fix rate"/>
    <s v="TRUE"/>
    <m/>
    <s v="none"/>
    <s v="TRUE"/>
  </r>
  <r>
    <x v="1"/>
    <s v="432"/>
    <x v="369"/>
    <x v="240"/>
    <e v="#N/A"/>
    <e v="#N/A"/>
    <e v="#N/A"/>
    <e v="#N/A"/>
    <e v="#N/A"/>
    <e v="#N/A"/>
    <s v="License"/>
    <m/>
    <s v="ADTF Floating License File"/>
    <s v="6400"/>
    <n v="10"/>
    <m/>
    <s v="Calculated"/>
    <s v="TRUE"/>
    <n v="20"/>
    <s v="none"/>
    <s v="TRUE"/>
  </r>
  <r>
    <x v="1"/>
    <s v="433"/>
    <x v="370"/>
    <x v="241"/>
    <e v="#N/A"/>
    <e v="#N/A"/>
    <e v="#N/A"/>
    <e v="#N/A"/>
    <e v="#N/A"/>
    <e v="#N/A"/>
    <s v="License"/>
    <m/>
    <s v="ADTF Node-Locked License File"/>
    <s v="6400"/>
    <n v="10"/>
    <m/>
    <s v="Calculated"/>
    <s v="TRUE"/>
    <m/>
    <s v="none"/>
    <s v="TRUE"/>
  </r>
  <r>
    <x v="1"/>
    <s v="434"/>
    <x v="371"/>
    <x v="242"/>
    <e v="#N/A"/>
    <e v="#N/A"/>
    <e v="#N/A"/>
    <e v="#N/A"/>
    <e v="#N/A"/>
    <e v="#N/A"/>
    <s v="License"/>
    <m/>
    <s v="ADTF Floating License File"/>
    <s v="6400"/>
    <n v="10"/>
    <m/>
    <s v="Calculated"/>
    <s v="TRUE"/>
    <m/>
    <s v="none"/>
    <s v="TRUE"/>
  </r>
  <r>
    <x v="1"/>
    <s v="435"/>
    <x v="372"/>
    <x v="243"/>
    <e v="#N/A"/>
    <e v="#N/A"/>
    <e v="#N/A"/>
    <e v="#N/A"/>
    <e v="#N/A"/>
    <e v="#N/A"/>
    <s v="License"/>
    <m/>
    <s v="ADTF Node-Locked License File"/>
    <s v="6400"/>
    <n v="10"/>
    <m/>
    <s v="Calculated"/>
    <s v="FALSE"/>
    <n v="3"/>
    <s v="none"/>
    <s v="TRUE"/>
  </r>
  <r>
    <x v="1"/>
    <s v="436"/>
    <x v="373"/>
    <x v="244"/>
    <e v="#N/A"/>
    <e v="#N/A"/>
    <e v="#N/A"/>
    <e v="#N/A"/>
    <e v="#N/A"/>
    <e v="#N/A"/>
    <s v="License"/>
    <m/>
    <s v="ADTF Node-Locked License File"/>
    <s v="6400"/>
    <n v="10"/>
    <m/>
    <s v="Calculated"/>
    <s v="FALSE"/>
    <n v="5"/>
    <s v="none"/>
    <s v="TRUE"/>
  </r>
  <r>
    <x v="1"/>
    <s v="437"/>
    <x v="374"/>
    <x v="245"/>
    <e v="#N/A"/>
    <e v="#N/A"/>
    <e v="#N/A"/>
    <e v="#N/A"/>
    <e v="#N/A"/>
    <e v="#N/A"/>
    <s v="License"/>
    <m/>
    <s v="ADTF Node-Locked License File"/>
    <s v="6400"/>
    <n v="10"/>
    <m/>
    <s v="Calculated"/>
    <s v="FALSE"/>
    <n v="10"/>
    <s v="none"/>
    <s v="TRUE"/>
  </r>
  <r>
    <x v="1"/>
    <s v="438"/>
    <x v="375"/>
    <x v="246"/>
    <e v="#N/A"/>
    <e v="#N/A"/>
    <e v="#N/A"/>
    <e v="#N/A"/>
    <e v="#N/A"/>
    <e v="#N/A"/>
    <s v="License"/>
    <m/>
    <s v="ADTF Node-Locked License File"/>
    <s v="6400"/>
    <n v="10"/>
    <m/>
    <s v="Calculated"/>
    <s v="FALSE"/>
    <m/>
    <s v="none"/>
    <s v="TRUE"/>
  </r>
  <r>
    <x v="1"/>
    <s v="439"/>
    <x v="376"/>
    <x v="246"/>
    <e v="#N/A"/>
    <e v="#N/A"/>
    <e v="#N/A"/>
    <e v="#N/A"/>
    <e v="#N/A"/>
    <e v="#N/A"/>
    <s v="License"/>
    <m/>
    <s v="ADTF Node-Locked License File"/>
    <s v="6400"/>
    <n v="10"/>
    <m/>
    <s v="Calculated"/>
    <s v="FALSE"/>
    <m/>
    <s v="none"/>
    <s v="TRUE"/>
  </r>
  <r>
    <x v="1"/>
    <s v="44"/>
    <x v="377"/>
    <x v="235"/>
    <e v="#N/A"/>
    <e v="#N/A"/>
    <e v="#N/A"/>
    <e v="#N/A"/>
    <e v="#N/A"/>
    <e v="#N/A"/>
    <s v="License"/>
    <m/>
    <s v="no technical license protection"/>
    <s v="6400"/>
    <n v="10"/>
    <n v="50"/>
    <s v="Fix rate"/>
    <s v="TRUE"/>
    <m/>
    <s v="TotalAmountAsUpdateRight"/>
    <s v="TRUE"/>
  </r>
  <r>
    <x v="1"/>
    <s v="440"/>
    <x v="378"/>
    <x v="246"/>
    <e v="#N/A"/>
    <e v="#N/A"/>
    <e v="#N/A"/>
    <e v="#N/A"/>
    <e v="#N/A"/>
    <e v="#N/A"/>
    <s v="License"/>
    <m/>
    <s v="ADTF Node-Locked License File"/>
    <s v="6400"/>
    <n v="10"/>
    <m/>
    <s v="Calculated"/>
    <s v="FALSE"/>
    <m/>
    <s v="none"/>
    <s v="TRUE"/>
  </r>
  <r>
    <x v="1"/>
    <s v="441"/>
    <x v="379"/>
    <x v="199"/>
    <e v="#N/A"/>
    <e v="#N/A"/>
    <e v="#N/A"/>
    <e v="#N/A"/>
    <e v="#N/A"/>
    <e v="#N/A"/>
    <s v="License"/>
    <m/>
    <s v="ADTF Node-Locked License File"/>
    <s v="6400"/>
    <n v="10"/>
    <m/>
    <s v="Calculated"/>
    <s v="TRUE"/>
    <m/>
    <s v="none"/>
    <s v="TRUE"/>
  </r>
  <r>
    <x v="1"/>
    <s v="442"/>
    <x v="380"/>
    <x v="247"/>
    <e v="#N/A"/>
    <e v="#N/A"/>
    <e v="#N/A"/>
    <e v="#N/A"/>
    <e v="#N/A"/>
    <e v="#N/A"/>
    <s v="License"/>
    <m/>
    <s v="ADTF Floating License File"/>
    <s v="6400"/>
    <n v="10"/>
    <m/>
    <s v="Calculated"/>
    <s v="TRUE"/>
    <m/>
    <s v="none"/>
    <s v="TRUE"/>
  </r>
  <r>
    <x v="1"/>
    <s v="443"/>
    <x v="381"/>
    <x v="248"/>
    <e v="#N/A"/>
    <e v="#N/A"/>
    <e v="#N/A"/>
    <e v="#N/A"/>
    <e v="#N/A"/>
    <e v="#N/A"/>
    <s v="License"/>
    <m/>
    <s v="ADTF Node-Locked License File"/>
    <s v="6400"/>
    <n v="10"/>
    <m/>
    <s v="Calculated"/>
    <s v="TRUE"/>
    <m/>
    <s v="none"/>
    <s v="TRUE"/>
  </r>
  <r>
    <x v="1"/>
    <s v="444"/>
    <x v="382"/>
    <x v="249"/>
    <e v="#N/A"/>
    <e v="#N/A"/>
    <e v="#N/A"/>
    <e v="#N/A"/>
    <e v="#N/A"/>
    <e v="#N/A"/>
    <s v="License"/>
    <m/>
    <s v="ADTF Floating License File"/>
    <s v="6400"/>
    <n v="10"/>
    <m/>
    <s v="Calculated"/>
    <s v="TRUE"/>
    <m/>
    <s v="none"/>
    <s v="TRUE"/>
  </r>
  <r>
    <x v="1"/>
    <s v="445"/>
    <x v="383"/>
    <x v="250"/>
    <e v="#N/A"/>
    <e v="#N/A"/>
    <e v="#N/A"/>
    <e v="#N/A"/>
    <e v="#N/A"/>
    <e v="#N/A"/>
    <s v="License"/>
    <m/>
    <s v="ADTF Node-Locked License File"/>
    <s v="6400"/>
    <n v="10"/>
    <m/>
    <s v="Calculated"/>
    <s v="TRUE"/>
    <n v="20"/>
    <s v="none"/>
    <s v="TRUE"/>
  </r>
  <r>
    <x v="0"/>
    <s v="446"/>
    <x v="384"/>
    <x v="251"/>
    <s v="perpetual"/>
    <s v="12 months"/>
    <s v="FINALIZED PURCHASE PROCESS + 2 weeks"/>
    <s v="One-time payment"/>
    <s v="With FINAL DELIVERY"/>
    <s v="n/a"/>
    <s v="License"/>
    <m/>
    <s v="FlexNet Publisher Application Activation Code"/>
    <s v="6400"/>
    <n v="10"/>
    <m/>
    <s v="Calculated"/>
    <s v="TRUE"/>
    <n v="10"/>
    <s v="UpdateRightByConfiguration"/>
    <s v="TRUE"/>
  </r>
  <r>
    <x v="0"/>
    <s v="447"/>
    <x v="385"/>
    <x v="252"/>
    <s v="n/a"/>
    <s v="12 months"/>
    <s v="n/a"/>
    <s v="Annual payment"/>
    <s v="Anually at the beginning of the extended period"/>
    <s v="n/a"/>
    <s v="License"/>
    <m/>
    <s v="FlexNet Publisher Application Activation Code"/>
    <s v="6400"/>
    <n v="10"/>
    <m/>
    <s v="Calculated"/>
    <s v="FALSE"/>
    <n v="10"/>
    <s v="TotalAmountAsUpdateRight"/>
    <s v="TRUE"/>
  </r>
  <r>
    <x v="0"/>
    <s v="448"/>
    <x v="386"/>
    <x v="253"/>
    <s v="perpetual"/>
    <s v="12 months"/>
    <s v="FINALIZED PURCHASE PROCESS + 2 weeks"/>
    <s v="One-time payment"/>
    <s v="With FINAL DELIVERY"/>
    <s v="n/a"/>
    <s v="License"/>
    <m/>
    <s v="FlexNet Publisher Server Activation Code"/>
    <s v="6400"/>
    <n v="10"/>
    <m/>
    <s v="Calculated"/>
    <s v="TRUE"/>
    <n v="10"/>
    <s v="UpdateRightByConfiguration"/>
    <s v="TRUE"/>
  </r>
  <r>
    <x v="0"/>
    <s v="449"/>
    <x v="387"/>
    <x v="254"/>
    <s v="n/a"/>
    <s v="12 months"/>
    <s v="n/a"/>
    <s v="Annual payment"/>
    <s v="Anually at the beginning of the extended period"/>
    <s v="n/a"/>
    <s v="License"/>
    <m/>
    <s v="FlexNet Publisher Server Activation Code"/>
    <s v="6400"/>
    <n v="10"/>
    <m/>
    <s v="Calculated"/>
    <s v="FALSE"/>
    <n v="10"/>
    <s v="TotalAmountAsUpdateRight"/>
    <s v="TRUE"/>
  </r>
  <r>
    <x v="1"/>
    <s v="45"/>
    <x v="388"/>
    <x v="5"/>
    <e v="#N/A"/>
    <e v="#N/A"/>
    <e v="#N/A"/>
    <e v="#N/A"/>
    <e v="#N/A"/>
    <e v="#N/A"/>
    <s v="License"/>
    <m/>
    <s v="no technical license protection"/>
    <s v="6400"/>
    <n v="10"/>
    <n v="50"/>
    <s v="Fix rate"/>
    <s v="FALSE"/>
    <m/>
    <s v="UpdateRightByConfiguration"/>
    <s v="TRUE"/>
  </r>
  <r>
    <x v="0"/>
    <s v="450"/>
    <x v="389"/>
    <x v="255"/>
    <s v="perpetual"/>
    <s v="12 months"/>
    <s v="FINALIZED PURCHASE PROCESS + 2 weeks"/>
    <s v="One-time payment"/>
    <s v="With FINAL DELIVERY"/>
    <s v="n/a"/>
    <s v="License"/>
    <m/>
    <s v="FlexNet Publisher Application Activation Code"/>
    <s v="6400"/>
    <n v="10"/>
    <m/>
    <s v="Calculated"/>
    <s v="TRUE"/>
    <m/>
    <s v="UpdateRightByConfiguration"/>
    <s v="TRUE"/>
  </r>
  <r>
    <x v="0"/>
    <s v="451"/>
    <x v="390"/>
    <x v="256"/>
    <s v="n/a"/>
    <s v="12 months"/>
    <s v="n/a"/>
    <s v="Annual payment"/>
    <s v="Anually at the beginning of the extended period"/>
    <s v="n/a"/>
    <s v="License"/>
    <m/>
    <s v="FlexNet Publisher Application Activation Code"/>
    <s v="6400"/>
    <n v="10"/>
    <m/>
    <s v="Calculated"/>
    <s v="FALSE"/>
    <m/>
    <s v="TotalAmountAsUpdateRight"/>
    <s v="TRUE"/>
  </r>
  <r>
    <x v="0"/>
    <s v="452"/>
    <x v="391"/>
    <x v="257"/>
    <s v="perpetual"/>
    <s v="12 months"/>
    <s v="FINALIZED PURCHASE PROCESS + 2 weeks"/>
    <s v="One-time payment"/>
    <s v="With FINAL DELIVERY"/>
    <s v="n/a"/>
    <s v="License"/>
    <m/>
    <s v="FlexNet Publisher Server Activation Code"/>
    <s v="6400"/>
    <n v="10"/>
    <m/>
    <s v="Calculated"/>
    <s v="TRUE"/>
    <m/>
    <s v="UpdateRightByConfiguration"/>
    <s v="TRUE"/>
  </r>
  <r>
    <x v="0"/>
    <s v="453"/>
    <x v="392"/>
    <x v="258"/>
    <s v="n/a"/>
    <s v="12 months"/>
    <s v="n/a"/>
    <s v="Annual payment"/>
    <s v="Anually at the beginning of the extended period"/>
    <s v="n/a"/>
    <s v="License"/>
    <m/>
    <s v="FlexNet Publisher Server Activation Code"/>
    <s v="6400"/>
    <n v="10"/>
    <m/>
    <s v="Calculated"/>
    <s v="FALSE"/>
    <m/>
    <s v="TotalAmountAsUpdateRight"/>
    <s v="TRUE"/>
  </r>
  <r>
    <x v="1"/>
    <s v="454"/>
    <x v="393"/>
    <x v="259"/>
    <e v="#N/A"/>
    <e v="#N/A"/>
    <e v="#N/A"/>
    <e v="#N/A"/>
    <e v="#N/A"/>
    <e v="#N/A"/>
    <s v="License"/>
    <m/>
    <s v="ADTF Node-Locked License File"/>
    <s v="6400"/>
    <n v="10"/>
    <m/>
    <s v="Calculated"/>
    <s v="TRUE"/>
    <m/>
    <s v="TotalAmountAsUpdateRight"/>
    <s v="TRUE"/>
  </r>
  <r>
    <x v="1"/>
    <s v="455"/>
    <x v="394"/>
    <x v="260"/>
    <e v="#N/A"/>
    <e v="#N/A"/>
    <e v="#N/A"/>
    <e v="#N/A"/>
    <e v="#N/A"/>
    <e v="#N/A"/>
    <s v="License"/>
    <m/>
    <s v="ADTF Floating License File"/>
    <s v="6400"/>
    <n v="10"/>
    <m/>
    <s v="Calculated"/>
    <s v="TRUE"/>
    <m/>
    <s v="TotalAmountAsUpdateRight"/>
    <s v="TRUE"/>
  </r>
  <r>
    <x v="1"/>
    <s v="456"/>
    <x v="395"/>
    <x v="260"/>
    <e v="#N/A"/>
    <e v="#N/A"/>
    <e v="#N/A"/>
    <e v="#N/A"/>
    <e v="#N/A"/>
    <e v="#N/A"/>
    <s v="License"/>
    <m/>
    <s v="ADTF Floating License File"/>
    <s v="6400"/>
    <n v="10"/>
    <m/>
    <s v="Calculated"/>
    <s v="TRUE"/>
    <m/>
    <s v="TotalAmountAsUpdateRight"/>
    <s v="TRUE"/>
  </r>
  <r>
    <x v="1"/>
    <s v="457"/>
    <x v="396"/>
    <x v="261"/>
    <e v="#N/A"/>
    <e v="#N/A"/>
    <e v="#N/A"/>
    <e v="#N/A"/>
    <e v="#N/A"/>
    <e v="#N/A"/>
    <s v="License"/>
    <m/>
    <s v="ADTF Node-Locked License File"/>
    <s v="6400"/>
    <n v="10"/>
    <m/>
    <s v="Calculated"/>
    <s v="TRUE"/>
    <n v="10"/>
    <s v="UpdateRightByConfiguration"/>
    <s v="TRUE"/>
  </r>
  <r>
    <x v="1"/>
    <s v="458"/>
    <x v="397"/>
    <x v="262"/>
    <e v="#N/A"/>
    <e v="#N/A"/>
    <e v="#N/A"/>
    <e v="#N/A"/>
    <e v="#N/A"/>
    <e v="#N/A"/>
    <s v="License"/>
    <m/>
    <s v="FlexNet Publisher Server Activation Code"/>
    <s v="6400"/>
    <n v="10"/>
    <m/>
    <s v="Calculated"/>
    <s v="TRUE"/>
    <n v="10"/>
    <s v="UpdateRightByConfiguration"/>
    <s v="TRUE"/>
  </r>
  <r>
    <x v="0"/>
    <s v="459"/>
    <x v="398"/>
    <x v="263"/>
    <s v="n/a"/>
    <s v="n/a"/>
    <s v="In mutual alignment with the project"/>
    <s v="One-time payment"/>
    <s v="With FINAL DELIVERY"/>
    <s v="n/a"/>
    <s v="Training"/>
    <m/>
    <s v="no technical license protection"/>
    <s v="6400"/>
    <n v="10"/>
    <m/>
    <s v="Calculated"/>
    <s v="FALSE"/>
    <m/>
    <s v="none"/>
    <s v="TRUE"/>
  </r>
  <r>
    <x v="0"/>
    <s v="46"/>
    <x v="399"/>
    <x v="264"/>
    <s v="n/a"/>
    <s v="n/a"/>
    <s v="In mutual alignment with the project"/>
    <s v="One-time payment"/>
    <s v="With FINAL DELIVERY"/>
    <s v="n/a"/>
    <s v="Product related service without profile"/>
    <m/>
    <s v="no technical license protection"/>
    <s v="6500"/>
    <n v="10"/>
    <m/>
    <s v="Calculated"/>
    <s v="FALSE"/>
    <m/>
    <s v="none"/>
    <s v="TRUE"/>
  </r>
  <r>
    <x v="1"/>
    <s v="460"/>
    <x v="400"/>
    <x v="5"/>
    <e v="#N/A"/>
    <e v="#N/A"/>
    <e v="#N/A"/>
    <e v="#N/A"/>
    <e v="#N/A"/>
    <e v="#N/A"/>
    <s v="License"/>
    <m/>
    <s v="no technical license protection"/>
    <s v="6400"/>
    <n v="10"/>
    <n v="50"/>
    <s v="Fix rate"/>
    <s v="FALSE"/>
    <m/>
    <s v="none"/>
    <s v="TRUE"/>
  </r>
  <r>
    <x v="1"/>
    <s v="461"/>
    <x v="401"/>
    <x v="5"/>
    <e v="#N/A"/>
    <e v="#N/A"/>
    <e v="#N/A"/>
    <e v="#N/A"/>
    <e v="#N/A"/>
    <e v="#N/A"/>
    <s v="License"/>
    <m/>
    <s v="FlexNet Publisher Application Activation Code"/>
    <s v="6400"/>
    <n v="10"/>
    <n v="50"/>
    <s v="Fix rate"/>
    <s v="TRUE"/>
    <m/>
    <s v="none"/>
    <s v="TRUE"/>
  </r>
  <r>
    <x v="1"/>
    <s v="462"/>
    <x v="402"/>
    <x v="5"/>
    <e v="#N/A"/>
    <e v="#N/A"/>
    <e v="#N/A"/>
    <e v="#N/A"/>
    <e v="#N/A"/>
    <e v="#N/A"/>
    <s v="License"/>
    <m/>
    <s v="FlexNet Publisher Server Activation Code"/>
    <s v="6400"/>
    <n v="10"/>
    <n v="50"/>
    <s v="Fix rate"/>
    <s v="TRUE"/>
    <m/>
    <s v="none"/>
    <s v="TRUE"/>
  </r>
  <r>
    <x v="1"/>
    <s v="463"/>
    <x v="403"/>
    <x v="5"/>
    <e v="#N/A"/>
    <e v="#N/A"/>
    <e v="#N/A"/>
    <e v="#N/A"/>
    <e v="#N/A"/>
    <e v="#N/A"/>
    <s v="License"/>
    <m/>
    <s v="no technical license protection"/>
    <s v="6400"/>
    <n v="10"/>
    <n v="50"/>
    <s v="Fix rate"/>
    <s v="TRUE"/>
    <m/>
    <s v="none"/>
    <s v="TRUE"/>
  </r>
  <r>
    <x v="1"/>
    <s v="464"/>
    <x v="404"/>
    <x v="5"/>
    <e v="#N/A"/>
    <e v="#N/A"/>
    <e v="#N/A"/>
    <e v="#N/A"/>
    <e v="#N/A"/>
    <e v="#N/A"/>
    <s v="License"/>
    <m/>
    <s v="FlexNet Publisher Application Activation Code"/>
    <s v="6400"/>
    <n v="10"/>
    <m/>
    <s v="Calculated"/>
    <s v="TRUE"/>
    <m/>
    <s v="none"/>
    <s v="TRUE"/>
  </r>
  <r>
    <x v="1"/>
    <s v="465"/>
    <x v="405"/>
    <x v="5"/>
    <e v="#N/A"/>
    <e v="#N/A"/>
    <e v="#N/A"/>
    <e v="#N/A"/>
    <e v="#N/A"/>
    <e v="#N/A"/>
    <s v="License"/>
    <m/>
    <s v="FlexNet Publisher Server Activation Code"/>
    <s v="6400"/>
    <n v="10"/>
    <m/>
    <s v="Calculated"/>
    <s v="TRUE"/>
    <m/>
    <s v="none"/>
    <s v="TRUE"/>
  </r>
  <r>
    <x v="1"/>
    <s v="466"/>
    <x v="406"/>
    <x v="265"/>
    <e v="#N/A"/>
    <e v="#N/A"/>
    <e v="#N/A"/>
    <e v="#N/A"/>
    <e v="#N/A"/>
    <e v="#N/A"/>
    <s v="License"/>
    <m/>
    <s v="no technical license protection"/>
    <s v="6400"/>
    <n v="10"/>
    <n v="50"/>
    <s v="Fix rate"/>
    <s v="FALSE"/>
    <m/>
    <s v="UpdateRightByConfiguration"/>
    <s v="TRUE"/>
  </r>
  <r>
    <x v="1"/>
    <s v="467"/>
    <x v="407"/>
    <x v="5"/>
    <e v="#N/A"/>
    <e v="#N/A"/>
    <e v="#N/A"/>
    <e v="#N/A"/>
    <e v="#N/A"/>
    <e v="#N/A"/>
    <s v="Training"/>
    <m/>
    <s v="no technical license protection"/>
    <s v="6400"/>
    <n v="10"/>
    <m/>
    <s v="Calculated"/>
    <s v="FALSE"/>
    <n v="0"/>
    <s v="none"/>
    <s v="TRUE"/>
  </r>
  <r>
    <x v="1"/>
    <s v="468"/>
    <x v="408"/>
    <x v="266"/>
    <e v="#N/A"/>
    <e v="#N/A"/>
    <e v="#N/A"/>
    <e v="#N/A"/>
    <e v="#N/A"/>
    <e v="#N/A"/>
    <s v="Qualification Package"/>
    <m/>
    <s v="no technical license protection"/>
    <s v="6500"/>
    <n v="10"/>
    <m/>
    <s v="Calculated"/>
    <s v="FALSE"/>
    <m/>
    <s v="none"/>
    <s v="TRUE"/>
  </r>
  <r>
    <x v="1"/>
    <s v="469"/>
    <x v="409"/>
    <x v="238"/>
    <e v="#N/A"/>
    <e v="#N/A"/>
    <e v="#N/A"/>
    <e v="#N/A"/>
    <e v="#N/A"/>
    <e v="#N/A"/>
    <s v="License"/>
    <m/>
    <s v="no technical license protection"/>
    <s v="6400"/>
    <n v="10"/>
    <n v="50"/>
    <s v="Fix rate"/>
    <s v="TRUE"/>
    <m/>
    <s v="UpdateRightByConfiguration"/>
    <s v="TRUE"/>
  </r>
  <r>
    <x v="0"/>
    <s v="47"/>
    <x v="410"/>
    <x v="108"/>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470"/>
    <x v="411"/>
    <x v="267"/>
    <e v="#N/A"/>
    <e v="#N/A"/>
    <e v="#N/A"/>
    <e v="#N/A"/>
    <e v="#N/A"/>
    <e v="#N/A"/>
    <s v="License"/>
    <m/>
    <s v="no technical license protection"/>
    <s v="6400"/>
    <n v="10"/>
    <n v="50"/>
    <s v="Fix rate"/>
    <s v="TRUE"/>
    <n v="0"/>
    <e v="#N/A"/>
    <s v="TRUE"/>
  </r>
  <r>
    <x v="1"/>
    <s v="471"/>
    <x v="412"/>
    <x v="268"/>
    <e v="#N/A"/>
    <e v="#N/A"/>
    <e v="#N/A"/>
    <e v="#N/A"/>
    <e v="#N/A"/>
    <e v="#N/A"/>
    <s v="License"/>
    <m/>
    <s v="no technical license protection"/>
    <s v="6400"/>
    <n v="10"/>
    <n v="50"/>
    <s v="Fix rate"/>
    <s v="TRUE"/>
    <n v="0"/>
    <e v="#N/A"/>
    <s v="TRUE"/>
  </r>
  <r>
    <x v="0"/>
    <s v="472"/>
    <x v="413"/>
    <x v="216"/>
    <s v="3 months"/>
    <s v="n/a"/>
    <s v="n/a"/>
    <s v="One-time payment"/>
    <s v="With FINALIZED PURCHASE PROCESS"/>
    <s v="n/a"/>
    <s v="Product related service without profile"/>
    <m/>
    <s v="no technical license protection"/>
    <s v="6400"/>
    <n v="10"/>
    <m/>
    <s v="Calculated"/>
    <s v="TRUE"/>
    <n v="0"/>
    <s v="none"/>
    <s v="TRUE"/>
  </r>
  <r>
    <x v="1"/>
    <s v="473"/>
    <x v="414"/>
    <x v="269"/>
    <e v="#N/A"/>
    <e v="#N/A"/>
    <e v="#N/A"/>
    <e v="#N/A"/>
    <e v="#N/A"/>
    <e v="#N/A"/>
    <s v="Porting"/>
    <m/>
    <s v="no technical license protection"/>
    <s v="6500"/>
    <n v="10"/>
    <m/>
    <s v="Calculated"/>
    <s v="FALSE"/>
    <n v="0"/>
    <s v="none"/>
    <s v="TRUE"/>
  </r>
  <r>
    <x v="1"/>
    <s v="474"/>
    <x v="415"/>
    <x v="270"/>
    <e v="#N/A"/>
    <e v="#N/A"/>
    <e v="#N/A"/>
    <e v="#N/A"/>
    <e v="#N/A"/>
    <e v="#N/A"/>
    <s v="Porting"/>
    <m/>
    <s v="no technical license protection"/>
    <s v="6500"/>
    <n v="10"/>
    <m/>
    <s v="Calculated"/>
    <s v="FALSE"/>
    <n v="0"/>
    <s v="none"/>
    <s v="TRUE"/>
  </r>
  <r>
    <x v="1"/>
    <s v="475"/>
    <x v="416"/>
    <x v="271"/>
    <e v="#N/A"/>
    <e v="#N/A"/>
    <e v="#N/A"/>
    <e v="#N/A"/>
    <e v="#N/A"/>
    <e v="#N/A"/>
    <s v="License"/>
    <m/>
    <s v="no technical license protection"/>
    <s v="6400"/>
    <n v="10"/>
    <n v="50"/>
    <s v="Fix rate"/>
    <s v="FALSE"/>
    <n v="0"/>
    <s v="none"/>
    <s v="TRUE"/>
  </r>
  <r>
    <x v="1"/>
    <s v="476"/>
    <x v="417"/>
    <x v="5"/>
    <e v="#N/A"/>
    <e v="#N/A"/>
    <e v="#N/A"/>
    <e v="#N/A"/>
    <e v="#N/A"/>
    <e v="#N/A"/>
    <s v="License"/>
    <m/>
    <s v="no technical license protection"/>
    <s v="6400"/>
    <n v="10"/>
    <n v="50"/>
    <s v="Fix rate"/>
    <s v="FALSE"/>
    <n v="0"/>
    <s v="UpdateRightByConfiguration"/>
    <s v="TRUE"/>
  </r>
  <r>
    <x v="1"/>
    <s v="477"/>
    <x v="418"/>
    <x v="272"/>
    <e v="#N/A"/>
    <e v="#N/A"/>
    <e v="#N/A"/>
    <e v="#N/A"/>
    <e v="#N/A"/>
    <e v="#N/A"/>
    <s v="License"/>
    <m/>
    <s v="no technical license protection"/>
    <s v="6400"/>
    <n v="10"/>
    <n v="50"/>
    <s v="Fix rate"/>
    <s v="FALSE"/>
    <n v="0"/>
    <s v="TotalAmountAsUpdateRight"/>
    <s v="TRUE"/>
  </r>
  <r>
    <x v="1"/>
    <s v="478"/>
    <x v="419"/>
    <x v="273"/>
    <e v="#N/A"/>
    <e v="#N/A"/>
    <e v="#N/A"/>
    <e v="#N/A"/>
    <e v="#N/A"/>
    <e v="#N/A"/>
    <s v="License"/>
    <m/>
    <s v="no technical license protection"/>
    <s v="6400"/>
    <n v="10"/>
    <n v="50"/>
    <s v="Fix rate"/>
    <s v="FALSE"/>
    <m/>
    <s v="none"/>
    <s v="TRUE"/>
  </r>
  <r>
    <x v="1"/>
    <s v="479"/>
    <x v="420"/>
    <x v="273"/>
    <e v="#N/A"/>
    <e v="#N/A"/>
    <e v="#N/A"/>
    <e v="#N/A"/>
    <e v="#N/A"/>
    <e v="#N/A"/>
    <s v="License"/>
    <m/>
    <s v="no technical license protection"/>
    <s v="6400"/>
    <n v="10"/>
    <n v="50"/>
    <s v="Fix rate"/>
    <s v="FALSE"/>
    <m/>
    <s v="none"/>
    <s v="TRUE"/>
  </r>
  <r>
    <x v="1"/>
    <s v="48"/>
    <x v="421"/>
    <x v="274"/>
    <e v="#N/A"/>
    <e v="#N/A"/>
    <e v="#N/A"/>
    <e v="#N/A"/>
    <e v="#N/A"/>
    <e v="#N/A"/>
    <s v="License"/>
    <m/>
    <s v="no technical license protection"/>
    <m/>
    <n v="10"/>
    <n v="50"/>
    <s v="Fix rate"/>
    <s v="FALSE"/>
    <m/>
    <s v="none"/>
    <s v="TRUE"/>
  </r>
  <r>
    <x v="1"/>
    <s v="480"/>
    <x v="422"/>
    <x v="275"/>
    <e v="#N/A"/>
    <e v="#N/A"/>
    <e v="#N/A"/>
    <e v="#N/A"/>
    <e v="#N/A"/>
    <e v="#N/A"/>
    <s v="License"/>
    <m/>
    <s v="no technical license protection"/>
    <s v="6400"/>
    <n v="10"/>
    <m/>
    <s v="Calculated"/>
    <s v="FALSE"/>
    <n v="0"/>
    <s v="none"/>
    <s v="TRUE"/>
  </r>
  <r>
    <x v="0"/>
    <s v="481"/>
    <x v="423"/>
    <x v="77"/>
    <s v="n/a"/>
    <s v="12 months"/>
    <s v="n/a"/>
    <s v="Annual payment"/>
    <s v="Anually at the beginning of the extended period"/>
    <s v="n/a"/>
    <s v="License"/>
    <m/>
    <s v="no technical license protection"/>
    <s v="6400"/>
    <n v="10"/>
    <m/>
    <s v="Calculated"/>
    <s v="FALSE"/>
    <n v="15"/>
    <s v="TotalAmountAsUpdateRight"/>
    <s v="TRUE"/>
  </r>
  <r>
    <x v="0"/>
    <s v="482"/>
    <x v="424"/>
    <x v="276"/>
    <s v="12 months / yearly automatically renewed"/>
    <s v="12 months / yearly automatically renewed"/>
    <s v="FINALIZED PURCHASE PROCESS + 2 weeks"/>
    <s v="Annual subscription"/>
    <s v="First payment due after FINAL DELIVERY / Recurring payment based on LICENSE PERIOD"/>
    <s v="Elektrobit Tooling Licence"/>
    <s v="License"/>
    <m/>
    <s v="FlexNet Publisher Application Activation Code"/>
    <s v="6400"/>
    <n v="10"/>
    <n v="50"/>
    <s v="Fix rate"/>
    <s v="FALSE"/>
    <m/>
    <s v="UpdateRightByConfiguration"/>
    <s v="TRUE"/>
  </r>
  <r>
    <x v="0"/>
    <s v="483"/>
    <x v="425"/>
    <x v="277"/>
    <s v="12 months / yearly automatically renewed"/>
    <s v="12 months / yearly automatically renewed"/>
    <s v="FINALIZED PURCHASE PROCESS + 2 weeks"/>
    <s v="Annual subscription"/>
    <s v="First payment due after FINAL DELIVERY / Recurring payment based on LICENSE PERIOD"/>
    <s v="Elektrobit Tooling Licence"/>
    <s v="License"/>
    <m/>
    <s v="FlexNet Publisher Server Activation Code"/>
    <s v="6400"/>
    <n v="10"/>
    <n v="50"/>
    <s v="Fix rate"/>
    <s v="FALSE"/>
    <m/>
    <s v="UpdateRightByConfiguration"/>
    <s v="TRUE"/>
  </r>
  <r>
    <x v="1"/>
    <s v="484"/>
    <x v="426"/>
    <x v="278"/>
    <e v="#N/A"/>
    <e v="#N/A"/>
    <e v="#N/A"/>
    <e v="#N/A"/>
    <e v="#N/A"/>
    <e v="#N/A"/>
    <s v="License"/>
    <m/>
    <s v="no technical license protection"/>
    <s v="6400"/>
    <n v="10"/>
    <n v="50"/>
    <s v="Fix rate"/>
    <s v="FALSE"/>
    <n v="0"/>
    <s v="UpdateRightByConfiguration"/>
    <s v="TRUE"/>
  </r>
  <r>
    <x v="1"/>
    <s v="485"/>
    <x v="427"/>
    <x v="228"/>
    <e v="#N/A"/>
    <e v="#N/A"/>
    <e v="#N/A"/>
    <e v="#N/A"/>
    <e v="#N/A"/>
    <e v="#N/A"/>
    <s v="License"/>
    <m/>
    <s v="no technical license protection"/>
    <s v="6400"/>
    <n v="10"/>
    <n v="50"/>
    <s v="Fix rate"/>
    <s v="TRUE"/>
    <m/>
    <s v="none"/>
    <s v="TRUE"/>
  </r>
  <r>
    <x v="1"/>
    <s v="486"/>
    <x v="428"/>
    <x v="228"/>
    <e v="#N/A"/>
    <e v="#N/A"/>
    <e v="#N/A"/>
    <e v="#N/A"/>
    <e v="#N/A"/>
    <e v="#N/A"/>
    <s v="License"/>
    <m/>
    <s v="no technical license protection"/>
    <s v="6400"/>
    <n v="10"/>
    <n v="50"/>
    <s v="Fix rate"/>
    <s v="TRUE"/>
    <m/>
    <s v="none"/>
    <s v="TRUE"/>
  </r>
  <r>
    <x v="1"/>
    <s v="487"/>
    <x v="429"/>
    <x v="228"/>
    <e v="#N/A"/>
    <e v="#N/A"/>
    <e v="#N/A"/>
    <e v="#N/A"/>
    <e v="#N/A"/>
    <e v="#N/A"/>
    <s v="License"/>
    <m/>
    <s v="no technical license protection"/>
    <s v="6400"/>
    <n v="10"/>
    <n v="50"/>
    <s v="Fix rate"/>
    <s v="TRUE"/>
    <m/>
    <s v="none"/>
    <s v="TRUE"/>
  </r>
  <r>
    <x v="1"/>
    <s v="488"/>
    <x v="430"/>
    <x v="228"/>
    <e v="#N/A"/>
    <e v="#N/A"/>
    <e v="#N/A"/>
    <e v="#N/A"/>
    <e v="#N/A"/>
    <e v="#N/A"/>
    <s v="License"/>
    <m/>
    <s v="no technical license protection"/>
    <s v="6400"/>
    <n v="10"/>
    <n v="50"/>
    <s v="Fix rate"/>
    <s v="TRUE"/>
    <m/>
    <s v="none"/>
    <s v="TRUE"/>
  </r>
  <r>
    <x v="1"/>
    <s v="489"/>
    <x v="431"/>
    <x v="228"/>
    <e v="#N/A"/>
    <e v="#N/A"/>
    <e v="#N/A"/>
    <e v="#N/A"/>
    <e v="#N/A"/>
    <e v="#N/A"/>
    <s v="License"/>
    <m/>
    <s v="no technical license protection"/>
    <s v="6400"/>
    <n v="10"/>
    <n v="50"/>
    <s v="Fix rate"/>
    <s v="TRUE"/>
    <m/>
    <s v="none"/>
    <s v="TRUE"/>
  </r>
  <r>
    <x v="0"/>
    <s v="49"/>
    <x v="432"/>
    <x v="279"/>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490"/>
    <x v="433"/>
    <x v="228"/>
    <e v="#N/A"/>
    <e v="#N/A"/>
    <e v="#N/A"/>
    <e v="#N/A"/>
    <e v="#N/A"/>
    <e v="#N/A"/>
    <s v="License"/>
    <m/>
    <s v="no technical license protection"/>
    <s v="6400"/>
    <n v="10"/>
    <n v="50"/>
    <s v="Fix rate"/>
    <s v="TRUE"/>
    <m/>
    <s v="none"/>
    <s v="TRUE"/>
  </r>
  <r>
    <x v="1"/>
    <s v="491"/>
    <x v="434"/>
    <x v="228"/>
    <e v="#N/A"/>
    <e v="#N/A"/>
    <e v="#N/A"/>
    <e v="#N/A"/>
    <e v="#N/A"/>
    <e v="#N/A"/>
    <s v="License"/>
    <m/>
    <s v="no technical license protection"/>
    <s v="6400"/>
    <n v="10"/>
    <n v="50"/>
    <s v="Fix rate"/>
    <s v="TRUE"/>
    <m/>
    <s v="none"/>
    <s v="TRUE"/>
  </r>
  <r>
    <x v="1"/>
    <s v="492"/>
    <x v="435"/>
    <x v="228"/>
    <e v="#N/A"/>
    <e v="#N/A"/>
    <e v="#N/A"/>
    <e v="#N/A"/>
    <e v="#N/A"/>
    <e v="#N/A"/>
    <s v="License"/>
    <m/>
    <s v="no technical license protection"/>
    <s v="6400"/>
    <n v="10"/>
    <n v="50"/>
    <s v="Fix rate"/>
    <s v="TRUE"/>
    <m/>
    <s v="none"/>
    <s v="TRUE"/>
  </r>
  <r>
    <x v="1"/>
    <s v="493"/>
    <x v="436"/>
    <x v="228"/>
    <e v="#N/A"/>
    <e v="#N/A"/>
    <e v="#N/A"/>
    <e v="#N/A"/>
    <e v="#N/A"/>
    <e v="#N/A"/>
    <s v="License"/>
    <m/>
    <s v="no technical license protection"/>
    <s v="6400"/>
    <n v="10"/>
    <n v="50"/>
    <s v="Fix rate"/>
    <s v="TRUE"/>
    <m/>
    <s v="none"/>
    <s v="TRUE"/>
  </r>
  <r>
    <x v="1"/>
    <s v="494"/>
    <x v="437"/>
    <x v="228"/>
    <e v="#N/A"/>
    <e v="#N/A"/>
    <e v="#N/A"/>
    <e v="#N/A"/>
    <e v="#N/A"/>
    <e v="#N/A"/>
    <s v="License"/>
    <m/>
    <s v="no technical license protection"/>
    <s v="6400"/>
    <n v="10"/>
    <n v="50"/>
    <s v="Fix rate"/>
    <s v="TRUE"/>
    <m/>
    <s v="none"/>
    <s v="TRUE"/>
  </r>
  <r>
    <x v="1"/>
    <s v="495"/>
    <x v="438"/>
    <x v="228"/>
    <e v="#N/A"/>
    <e v="#N/A"/>
    <e v="#N/A"/>
    <e v="#N/A"/>
    <e v="#N/A"/>
    <e v="#N/A"/>
    <s v="License"/>
    <m/>
    <s v="no technical license protection"/>
    <s v="6400"/>
    <n v="10"/>
    <n v="50"/>
    <s v="Fix rate"/>
    <s v="TRUE"/>
    <m/>
    <s v="none"/>
    <s v="TRUE"/>
  </r>
  <r>
    <x v="1"/>
    <s v="496"/>
    <x v="439"/>
    <x v="228"/>
    <e v="#N/A"/>
    <e v="#N/A"/>
    <e v="#N/A"/>
    <e v="#N/A"/>
    <e v="#N/A"/>
    <e v="#N/A"/>
    <s v="License"/>
    <m/>
    <s v="no technical license protection"/>
    <s v="6400"/>
    <n v="10"/>
    <n v="50"/>
    <s v="Fix rate"/>
    <s v="TRUE"/>
    <m/>
    <s v="none"/>
    <s v="TRUE"/>
  </r>
  <r>
    <x v="1"/>
    <s v="497"/>
    <x v="440"/>
    <x v="228"/>
    <e v="#N/A"/>
    <e v="#N/A"/>
    <e v="#N/A"/>
    <e v="#N/A"/>
    <e v="#N/A"/>
    <e v="#N/A"/>
    <s v="License"/>
    <m/>
    <s v="no technical license protection"/>
    <s v="6400"/>
    <n v="10"/>
    <n v="50"/>
    <s v="Fix rate"/>
    <s v="TRUE"/>
    <m/>
    <s v="none"/>
    <s v="TRUE"/>
  </r>
  <r>
    <x v="1"/>
    <s v="498"/>
    <x v="441"/>
    <x v="228"/>
    <e v="#N/A"/>
    <e v="#N/A"/>
    <e v="#N/A"/>
    <e v="#N/A"/>
    <e v="#N/A"/>
    <e v="#N/A"/>
    <s v="License"/>
    <m/>
    <s v="no technical license protection"/>
    <s v="6400"/>
    <n v="10"/>
    <n v="50"/>
    <s v="Fix rate"/>
    <s v="TRUE"/>
    <m/>
    <s v="none"/>
    <s v="TRUE"/>
  </r>
  <r>
    <x v="1"/>
    <s v="499"/>
    <x v="442"/>
    <x v="192"/>
    <e v="#N/A"/>
    <e v="#N/A"/>
    <e v="#N/A"/>
    <e v="#N/A"/>
    <e v="#N/A"/>
    <e v="#N/A"/>
    <s v="Porting"/>
    <m/>
    <s v="no technical license protection"/>
    <s v="6500"/>
    <n v="10"/>
    <n v="0"/>
    <s v="Calculated"/>
    <s v="FALSE"/>
    <n v="0"/>
    <s v="none"/>
    <s v="TRUE"/>
  </r>
  <r>
    <x v="1"/>
    <s v="5"/>
    <x v="443"/>
    <x v="280"/>
    <e v="#N/A"/>
    <e v="#N/A"/>
    <e v="#N/A"/>
    <e v="#N/A"/>
    <e v="#N/A"/>
    <e v="#N/A"/>
    <s v="License"/>
    <m/>
    <s v="no technical license protection"/>
    <m/>
    <n v="10"/>
    <n v="50"/>
    <s v="Fix rate"/>
    <s v="FALSE"/>
    <m/>
    <s v="none"/>
    <s v="TRUE"/>
  </r>
  <r>
    <x v="1"/>
    <s v="50"/>
    <x v="444"/>
    <x v="5"/>
    <e v="#N/A"/>
    <e v="#N/A"/>
    <e v="#N/A"/>
    <e v="#N/A"/>
    <e v="#N/A"/>
    <e v="#N/A"/>
    <s v="Hardware"/>
    <m/>
    <s v="no technical license protection"/>
    <s v="6400"/>
    <n v="10"/>
    <m/>
    <s v="Calculated"/>
    <s v="FALSE"/>
    <m/>
    <s v="none"/>
    <s v="TRUE"/>
  </r>
  <r>
    <x v="1"/>
    <s v="500"/>
    <x v="445"/>
    <x v="193"/>
    <e v="#N/A"/>
    <e v="#N/A"/>
    <e v="#N/A"/>
    <e v="#N/A"/>
    <e v="#N/A"/>
    <e v="#N/A"/>
    <s v="Porting"/>
    <m/>
    <s v="no technical license protection"/>
    <s v="6500"/>
    <n v="10"/>
    <n v="0"/>
    <s v="Calculated"/>
    <s v="FALSE"/>
    <n v="0"/>
    <s v="none"/>
    <s v="TRUE"/>
  </r>
  <r>
    <x v="1"/>
    <s v="501"/>
    <x v="446"/>
    <x v="194"/>
    <e v="#N/A"/>
    <e v="#N/A"/>
    <e v="#N/A"/>
    <e v="#N/A"/>
    <e v="#N/A"/>
    <e v="#N/A"/>
    <s v="Porting"/>
    <m/>
    <s v="no technical license protection"/>
    <s v="6500"/>
    <n v="10"/>
    <n v="0"/>
    <s v="Calculated"/>
    <s v="FALSE"/>
    <n v="0"/>
    <s v="none"/>
    <s v="TRUE"/>
  </r>
  <r>
    <x v="1"/>
    <s v="502"/>
    <x v="447"/>
    <x v="195"/>
    <e v="#N/A"/>
    <e v="#N/A"/>
    <e v="#N/A"/>
    <e v="#N/A"/>
    <e v="#N/A"/>
    <e v="#N/A"/>
    <s v="Porting"/>
    <m/>
    <s v="no technical license protection"/>
    <s v="6500"/>
    <n v="10"/>
    <n v="0"/>
    <s v="Calculated"/>
    <s v="FALSE"/>
    <n v="0"/>
    <s v="none"/>
    <s v="TRUE"/>
  </r>
  <r>
    <x v="1"/>
    <s v="503"/>
    <x v="448"/>
    <x v="196"/>
    <e v="#N/A"/>
    <e v="#N/A"/>
    <e v="#N/A"/>
    <e v="#N/A"/>
    <e v="#N/A"/>
    <e v="#N/A"/>
    <s v="Porting"/>
    <m/>
    <s v="no technical license protection"/>
    <s v="6500"/>
    <n v="10"/>
    <n v="0"/>
    <s v="Calculated"/>
    <s v="FALSE"/>
    <n v="0"/>
    <s v="none"/>
    <s v="TRUE"/>
  </r>
  <r>
    <x v="0"/>
    <s v="504"/>
    <x v="449"/>
    <x v="281"/>
    <s v="perpetual"/>
    <s v="n/a"/>
    <s v="FINALIZED PURCHASE PROCESS + 2 weeks"/>
    <s v="One-time payment"/>
    <s v="With FINAL DELIVERY"/>
    <s v="n/a"/>
    <s v="License"/>
    <m/>
    <s v="no technical license protection"/>
    <s v="6400"/>
    <n v="10"/>
    <m/>
    <s v="Calculated"/>
    <s v="TRUE"/>
    <m/>
    <s v="none"/>
    <s v="TRUE"/>
  </r>
  <r>
    <x v="0"/>
    <s v="505"/>
    <x v="450"/>
    <x v="5"/>
    <s v="n/a"/>
    <s v="n/a"/>
    <s v="In mutual alignment with the project"/>
    <s v="Monthly based on effort"/>
    <s v="Monthly based on effort"/>
    <s v="n/a"/>
    <s v="Product related service without profile"/>
    <m/>
    <s v="no technical license protection"/>
    <s v="0"/>
    <n v="0"/>
    <m/>
    <s v="Calculated"/>
    <s v="FALSE"/>
    <m/>
    <s v="none"/>
    <s v="TRUE"/>
  </r>
  <r>
    <x v="0"/>
    <s v="506"/>
    <x v="451"/>
    <x v="282"/>
    <s v="n/a"/>
    <s v="12 months"/>
    <s v="n/a"/>
    <s v="Annual payment"/>
    <s v="Anually at the beginning of the extended period"/>
    <s v="n/a"/>
    <s v="License"/>
    <m/>
    <s v="no technical license protection"/>
    <s v="6400"/>
    <n v="10"/>
    <n v="50"/>
    <s v="Fix rate"/>
    <s v="FALSE"/>
    <m/>
    <s v="TotalAmountAsUpdateRight"/>
    <s v="TRUE"/>
  </r>
  <r>
    <x v="0"/>
    <s v="507"/>
    <x v="452"/>
    <x v="283"/>
    <s v="n/a"/>
    <s v="n/a"/>
    <s v="In mutual alignment with the project"/>
    <s v="One-time payment"/>
    <s v="With FINAL DELIVERY"/>
    <s v="n/a"/>
    <s v="Integration Package"/>
    <m/>
    <s v="no technical license protection"/>
    <s v="0"/>
    <n v="10"/>
    <m/>
    <s v="Calculated"/>
    <s v="FALSE"/>
    <m/>
    <s v="none"/>
    <s v="TRUE"/>
  </r>
  <r>
    <x v="0"/>
    <s v="508"/>
    <x v="453"/>
    <x v="284"/>
    <s v="n/a"/>
    <s v="n/a"/>
    <s v="In mutual alignment with the project"/>
    <s v="One-time payment"/>
    <s v="With FINAL DELIVERY"/>
    <s v="n/a"/>
    <s v="Integration Package"/>
    <m/>
    <s v="no technical license protection"/>
    <s v="0"/>
    <n v="10"/>
    <m/>
    <s v="Calculated"/>
    <s v="FALSE"/>
    <m/>
    <s v="none"/>
    <s v="TRUE"/>
  </r>
  <r>
    <x v="0"/>
    <s v="509"/>
    <x v="454"/>
    <x v="285"/>
    <s v="perpetual"/>
    <s v="n/a"/>
    <s v="FINALIZED PURCHASE PROCESS + 2 weeks"/>
    <s v="One-time payment"/>
    <s v="With FINAL DELIVERY"/>
    <s v="Elektrobit Tooling Licence"/>
    <s v="License"/>
    <m/>
    <s v="FlexNet Publisher Application Activation Code"/>
    <s v="0"/>
    <n v="10"/>
    <n v="50"/>
    <s v="Fix rate"/>
    <s v="TRUE"/>
    <m/>
    <s v="none"/>
    <s v="TRUE"/>
  </r>
  <r>
    <x v="1"/>
    <s v="51"/>
    <x v="455"/>
    <x v="286"/>
    <e v="#N/A"/>
    <e v="#N/A"/>
    <e v="#N/A"/>
    <e v="#N/A"/>
    <e v="#N/A"/>
    <e v="#N/A"/>
    <s v="License"/>
    <m/>
    <s v="no technical license protection"/>
    <m/>
    <n v="10"/>
    <n v="50"/>
    <s v="Fix rate"/>
    <s v="FALSE"/>
    <m/>
    <s v="none"/>
    <s v="TRUE"/>
  </r>
  <r>
    <x v="0"/>
    <s v="510"/>
    <x v="456"/>
    <x v="287"/>
    <s v="perpetual"/>
    <s v="n/a"/>
    <s v="FINALIZED PURCHASE PROCESS + 2 weeks"/>
    <s v="One-time payment"/>
    <s v="With FINAL DELIVERY"/>
    <s v="Elektrobit Tooling Licence"/>
    <s v="License"/>
    <m/>
    <s v="FlexNet Publisher Dongle License File"/>
    <s v="0"/>
    <n v="10"/>
    <n v="50"/>
    <s v="Fix rate"/>
    <s v="TRUE"/>
    <m/>
    <s v="none"/>
    <s v="TRUE"/>
  </r>
  <r>
    <x v="0"/>
    <s v="511"/>
    <x v="457"/>
    <x v="288"/>
    <s v="perpetual"/>
    <s v="n/a"/>
    <s v="FINALIZED PURCHASE PROCESS + 2 weeks"/>
    <s v="One-time payment"/>
    <s v="With FINAL DELIVERY"/>
    <s v="Elektrobit Tooling Licence"/>
    <s v="License"/>
    <m/>
    <s v="FlexNet Publisher Server Activation Code"/>
    <s v="0"/>
    <n v="10"/>
    <n v="50"/>
    <s v="Fix rate"/>
    <s v="TRUE"/>
    <m/>
    <s v="none"/>
    <s v="TRUE"/>
  </r>
  <r>
    <x v="0"/>
    <s v="512"/>
    <x v="458"/>
    <x v="289"/>
    <s v="n/a"/>
    <s v="n/a"/>
    <s v="n/a"/>
    <s v="n/a"/>
    <s v="n/a"/>
    <s v="n/a"/>
    <s v="License"/>
    <m/>
    <s v="no technical license protection"/>
    <s v="0"/>
    <n v="10"/>
    <m/>
    <s v="Calculated"/>
    <s v="FALSE"/>
    <m/>
    <s v="none"/>
    <s v="TRUE"/>
  </r>
  <r>
    <x v="0"/>
    <s v="513"/>
    <x v="459"/>
    <x v="181"/>
    <s v="3 months"/>
    <s v="n/a"/>
    <s v="FINALIZED PURCHASE PROCESS + 2 weeks"/>
    <s v="One-time payment"/>
    <s v="With FINAL DELIVERY"/>
    <s v="n/a"/>
    <s v="License"/>
    <m/>
    <s v="no technical license protection"/>
    <s v="6400"/>
    <n v="10"/>
    <m/>
    <s v="Calculated"/>
    <s v="FALSE"/>
    <m/>
    <s v="none"/>
    <s v="TRUE"/>
  </r>
  <r>
    <x v="0"/>
    <s v="514"/>
    <x v="460"/>
    <x v="290"/>
    <s v="12 months / yearly automatically renewed"/>
    <s v="12 months / yearly automatically renewed"/>
    <s v="FINALIZED PURCHASE PROCESS + 2 weeks"/>
    <s v="Annual subscription"/>
    <s v="First payment due after FINAL DELIVERY / Recurring payment based on LICENSE PERIOD"/>
    <s v="Development License"/>
    <s v="License"/>
    <m/>
    <s v="no technical license protection"/>
    <s v="0"/>
    <n v="10"/>
    <m/>
    <s v="Fix rate"/>
    <s v="FALSE"/>
    <n v="30"/>
    <s v="UpdateRightByConfiguration"/>
    <s v="TRUE"/>
  </r>
  <r>
    <x v="0"/>
    <s v="515"/>
    <x v="461"/>
    <x v="291"/>
    <s v="perpetual"/>
    <s v="n/a"/>
    <s v="n/a"/>
    <s v="Per unit"/>
    <s v="Monthly based on units"/>
    <s v="Reproduction and Distribution License"/>
    <s v="License"/>
    <m/>
    <s v="no technical license protection"/>
    <s v="0"/>
    <n v="10"/>
    <m/>
    <s v="Fix rate"/>
    <s v="TRUE"/>
    <m/>
    <s v="none"/>
    <s v="TRUE"/>
  </r>
  <r>
    <x v="1"/>
    <s v="516"/>
    <x v="462"/>
    <x v="292"/>
    <e v="#N/A"/>
    <e v="#N/A"/>
    <e v="#N/A"/>
    <e v="#N/A"/>
    <e v="#N/A"/>
    <e v="#N/A"/>
    <s v="License"/>
    <m/>
    <s v="no technical license protection"/>
    <s v="0"/>
    <n v="10"/>
    <m/>
    <e v="#N/A"/>
    <s v="TRUE"/>
    <n v="0"/>
    <s v="none"/>
    <s v="TRUE"/>
  </r>
  <r>
    <x v="0"/>
    <s v="517"/>
    <x v="463"/>
    <x v="293"/>
    <s v="12 months / yearly automatically renewed"/>
    <s v="12 months / yearly automatically renewed"/>
    <s v="n/a"/>
    <s v="Annual subscription"/>
    <s v="Yearly based on units"/>
    <s v="Reproduction and Distribution License"/>
    <s v="License"/>
    <m/>
    <s v="no technical license protection"/>
    <s v="0"/>
    <n v="10"/>
    <m/>
    <s v="Fix rate"/>
    <s v="FALSE"/>
    <m/>
    <s v="UpdateRightByConfiguration"/>
    <s v="TRUE"/>
  </r>
  <r>
    <x v="0"/>
    <s v="518"/>
    <x v="464"/>
    <x v="294"/>
    <s v="n/a"/>
    <s v="12 months / yearly automatically renewed"/>
    <s v="n/a"/>
    <s v="Annual subscription"/>
    <s v="Yearly based on units"/>
    <s v="n/a"/>
    <s v="License"/>
    <m/>
    <s v="no technical license protection"/>
    <s v="0"/>
    <n v="10"/>
    <m/>
    <s v="Fix rate"/>
    <s v="FALSE"/>
    <m/>
    <s v="TotalAmountAsUpdateRight"/>
    <s v="TRUE"/>
  </r>
  <r>
    <x v="0"/>
    <s v="519"/>
    <x v="465"/>
    <x v="295"/>
    <s v="n/a"/>
    <s v="12 months / yearly automatically renewed"/>
    <s v="n/a"/>
    <s v="Annual subscription"/>
    <s v="Anually at the beginning of the extended period"/>
    <s v="n/a"/>
    <s v="License"/>
    <m/>
    <s v="no technical license protection"/>
    <s v="0"/>
    <n v="10"/>
    <m/>
    <s v="Fix rate"/>
    <s v="FALSE"/>
    <m/>
    <s v="TotalAmountAsUpdateRight"/>
    <s v="TRUE"/>
  </r>
  <r>
    <x v="1"/>
    <s v="52"/>
    <x v="466"/>
    <x v="5"/>
    <e v="#N/A"/>
    <e v="#N/A"/>
    <e v="#N/A"/>
    <e v="#N/A"/>
    <e v="#N/A"/>
    <e v="#N/A"/>
    <s v="License"/>
    <m/>
    <s v="no technical license protection"/>
    <m/>
    <n v="10"/>
    <n v="50"/>
    <s v="Fix rate"/>
    <s v="FALSE"/>
    <m/>
    <s v="none"/>
    <s v="TRUE"/>
  </r>
  <r>
    <x v="1"/>
    <s v="520"/>
    <x v="467"/>
    <x v="296"/>
    <s v="n/a"/>
    <s v="n/a"/>
    <s v="FINALIZED PURCHASE PROCESS + 16 weeks"/>
    <s v="One-time payment"/>
    <s v="With FINAL DELIVERY"/>
    <s v="n/a"/>
    <s v="Hardware"/>
    <m/>
    <s v="no technical license protection"/>
    <s v="0"/>
    <n v="10"/>
    <m/>
    <e v="#N/A"/>
    <s v="FALSE"/>
    <n v="0"/>
    <s v="none"/>
    <s v="TRUE"/>
  </r>
  <r>
    <x v="0"/>
    <s v="521"/>
    <x v="468"/>
    <x v="297"/>
    <s v="n/a"/>
    <s v="12 months / yearly automatically renewed"/>
    <s v="n/a"/>
    <s v="Annual subscription"/>
    <s v="Anually at the beginning of the extended period"/>
    <s v="n/a"/>
    <s v="License"/>
    <m/>
    <s v="no technical license protection"/>
    <s v="0"/>
    <n v="10"/>
    <m/>
    <s v="Fix rate"/>
    <s v="FALSE"/>
    <m/>
    <s v="TotalAmountAsUpdateRight"/>
    <s v="TRUE"/>
  </r>
  <r>
    <x v="0"/>
    <s v="522"/>
    <x v="469"/>
    <x v="298"/>
    <s v="n/a"/>
    <s v="12 months / yearly automatically renewed"/>
    <s v="n/a"/>
    <s v="Annual subscription"/>
    <s v="Anually at the beginning of the extended period"/>
    <s v="n/a"/>
    <s v="License"/>
    <m/>
    <s v="no technical license protection"/>
    <s v="0"/>
    <n v="10"/>
    <m/>
    <e v="#N/A"/>
    <s v="FALSE"/>
    <n v="0"/>
    <s v="none"/>
    <s v="TRUE"/>
  </r>
  <r>
    <x v="0"/>
    <s v="523"/>
    <x v="467"/>
    <x v="299"/>
    <s v="n/a"/>
    <s v="n/a"/>
    <s v="FINALIZED PURCHASE PROCESS + 16 weeks"/>
    <s v="One-time payment"/>
    <s v="With FINAL DELIVERY"/>
    <s v="n/a"/>
    <s v="Hardware"/>
    <m/>
    <s v="no technical license protection"/>
    <s v="0"/>
    <n v="10"/>
    <m/>
    <s v="Calculated"/>
    <s v="FALSE"/>
    <m/>
    <s v="none"/>
    <s v="TRUE"/>
  </r>
  <r>
    <x v="0"/>
    <s v="524"/>
    <x v="470"/>
    <x v="300"/>
    <s v="12 months / yearly automatically renewed"/>
    <s v="12 months / yearly automatically renewed"/>
    <s v="FINALIZED PURCHASE PROCESS + 2 weeks"/>
    <s v="Annual subscription"/>
    <s v="First payment due after FINAL DELIVERY / Recurring payment based on LICENSE PERIOD"/>
    <s v="Elektrobit Tooling Licence"/>
    <s v="License"/>
    <m/>
    <s v="FlexNet Publisher Application Activation Code"/>
    <s v="0"/>
    <n v="10"/>
    <m/>
    <s v="Fix rate"/>
    <s v="FALSE"/>
    <m/>
    <s v="UpdateRightByConfiguration"/>
    <s v="TRUE"/>
  </r>
  <r>
    <x v="0"/>
    <s v="525"/>
    <x v="471"/>
    <x v="301"/>
    <s v="n/a"/>
    <s v="n/a"/>
    <s v="In mutual alignment with the project"/>
    <s v="One-time payment"/>
    <s v="With FINALIZED PURCHASE PROCESS"/>
    <s v="n/a"/>
    <s v="Product related service without profile"/>
    <m/>
    <s v="no technical license protection"/>
    <s v="0"/>
    <n v="10"/>
    <m/>
    <s v="Calculated"/>
    <s v="FALSE"/>
    <n v="10"/>
    <s v="none"/>
    <s v="TRUE"/>
  </r>
  <r>
    <x v="0"/>
    <s v="526"/>
    <x v="472"/>
    <x v="302"/>
    <s v="n/a"/>
    <s v="n/a"/>
    <s v="In mutual alignment with the project"/>
    <s v="One-time payment"/>
    <s v="With FINALIZED PURCHASE PROCESS"/>
    <s v="n/a"/>
    <s v="Product related service without profile"/>
    <m/>
    <s v="ADTF Node-Locked License File"/>
    <s v="0"/>
    <n v="10"/>
    <m/>
    <s v="Calculated"/>
    <s v="FALSE"/>
    <m/>
    <s v="none"/>
    <s v="TRUE"/>
  </r>
  <r>
    <x v="0"/>
    <s v="527"/>
    <x v="473"/>
    <x v="303"/>
    <s v="12 months / yearly automatically renewed"/>
    <s v="12 months / yearly automatically renewed"/>
    <s v="FINALIZED PURCHASE PROCESS + 2 weeks"/>
    <s v="Annual subscription"/>
    <s v="First payment due after FINAL DELIVERY / Recurring payment based on LICENSE PERIOD"/>
    <s v="Development License"/>
    <s v="License"/>
    <m/>
    <s v="no technical license protection"/>
    <s v="0"/>
    <n v="10"/>
    <m/>
    <s v="Fix rate"/>
    <s v="TRUE"/>
    <n v="20"/>
    <s v="UpdateRightByConfiguration"/>
    <s v="TRUE"/>
  </r>
  <r>
    <x v="0"/>
    <s v="528"/>
    <x v="474"/>
    <x v="5"/>
    <s v="n/a"/>
    <s v="n/a"/>
    <s v="In mutual alignment with the project"/>
    <s v="One-time payment"/>
    <s v="With FINAL DELIVERY"/>
    <s v="n/a"/>
    <s v="Product related service without profile"/>
    <m/>
    <s v="no technical license protection"/>
    <s v="6500"/>
    <n v="10"/>
    <m/>
    <s v="Calculated"/>
    <s v="FALSE"/>
    <m/>
    <s v="none"/>
    <s v="TRUE"/>
  </r>
  <r>
    <x v="0"/>
    <s v="529"/>
    <x v="475"/>
    <x v="304"/>
    <s v="n/a"/>
    <s v="n/a"/>
    <s v="n/a"/>
    <s v="Per unit"/>
    <s v="Monthly based on units"/>
    <s v="n/a"/>
    <s v="License"/>
    <m/>
    <s v="no technical license protection"/>
    <s v="0"/>
    <n v="10"/>
    <m/>
    <s v="Fix rate"/>
    <s v="FALSE"/>
    <m/>
    <s v="none"/>
    <s v="TRUE"/>
  </r>
  <r>
    <x v="1"/>
    <s v="53"/>
    <x v="476"/>
    <x v="5"/>
    <e v="#N/A"/>
    <e v="#N/A"/>
    <e v="#N/A"/>
    <e v="#N/A"/>
    <e v="#N/A"/>
    <e v="#N/A"/>
    <s v="Product related service without profile"/>
    <m/>
    <s v="no technical license protection"/>
    <m/>
    <n v="10"/>
    <m/>
    <s v="Calculated"/>
    <s v="FALSE"/>
    <m/>
    <s v="none"/>
    <s v="TRUE"/>
  </r>
  <r>
    <x v="0"/>
    <s v="530"/>
    <x v="477"/>
    <x v="305"/>
    <s v="n/a"/>
    <s v="12 months / yearly automatically renewed"/>
    <s v="n/a"/>
    <s v="Annual subscription"/>
    <s v="Anually at the beginning of the extended period"/>
    <s v="n/a"/>
    <s v="License"/>
    <m/>
    <s v="no technical license protection"/>
    <s v="0"/>
    <n v="10"/>
    <m/>
    <s v="Fix rate"/>
    <s v="FALSE"/>
    <m/>
    <s v="TotalAmountAsUpdateRight"/>
    <s v="TRUE"/>
  </r>
  <r>
    <x v="0"/>
    <s v="531"/>
    <x v="478"/>
    <x v="5"/>
    <s v="n/a"/>
    <s v="n/a"/>
    <s v="In mutual alignment with the project"/>
    <s v="Monthly based on effort"/>
    <s v="Monthly based on effort"/>
    <s v="n/a"/>
    <s v="Product related service without profile"/>
    <m/>
    <s v="no technical license protection"/>
    <s v="0"/>
    <n v="10"/>
    <m/>
    <s v="Calculated"/>
    <s v="FALSE"/>
    <m/>
    <s v="none"/>
    <s v="TRUE"/>
  </r>
  <r>
    <x v="0"/>
    <s v="532"/>
    <x v="479"/>
    <x v="306"/>
    <s v="n/a"/>
    <s v="12 months / yearly automatically renewed"/>
    <s v="n/a"/>
    <s v="Annual subscription"/>
    <s v="Anually at the beginning of the extended period"/>
    <s v="n/a"/>
    <s v="License"/>
    <m/>
    <s v="no technical license protection"/>
    <s v="0"/>
    <n v="10"/>
    <m/>
    <s v="Fix rate"/>
    <s v="FALSE"/>
    <m/>
    <s v="TotalAmountAsUpdateRight"/>
    <s v="TRUE"/>
  </r>
  <r>
    <x v="0"/>
    <s v="533"/>
    <x v="480"/>
    <x v="307"/>
    <s v="n/a"/>
    <s v="n/a"/>
    <s v="FINALIZED PURCHASE PROCESS + 2 weeks"/>
    <s v="One-time payment"/>
    <s v="With FINAL DELIVERY"/>
    <s v="n/a"/>
    <s v="License"/>
    <m/>
    <s v="no technical license protection"/>
    <s v="0"/>
    <n v="10"/>
    <m/>
    <s v="Fix rate"/>
    <s v="FALSE"/>
    <m/>
    <s v="none"/>
    <s v="TRUE"/>
  </r>
  <r>
    <x v="0"/>
    <s v="534"/>
    <x v="481"/>
    <x v="5"/>
    <s v="n/a"/>
    <s v="n/a"/>
    <s v="In mutual alignment with the project"/>
    <s v="Monthly based on effort"/>
    <s v="Monthly based on effort"/>
    <s v="n/a"/>
    <s v="Product related service without profile"/>
    <m/>
    <s v="no technical license protection"/>
    <s v="0"/>
    <n v="0"/>
    <m/>
    <s v="Calculated"/>
    <s v="FALSE"/>
    <m/>
    <s v="none"/>
    <s v="TRUE"/>
  </r>
  <r>
    <x v="0"/>
    <s v="535"/>
    <x v="482"/>
    <x v="5"/>
    <s v="n/a"/>
    <s v="n/a"/>
    <s v="In mutual alignment with the project"/>
    <s v="Monthly based on effort"/>
    <s v="Monthly based on effort"/>
    <s v="n/a"/>
    <s v="Product related service without profile"/>
    <m/>
    <s v="no technical license protection"/>
    <s v="0"/>
    <n v="0"/>
    <m/>
    <s v="Calculated"/>
    <s v="FALSE"/>
    <m/>
    <s v="none"/>
    <s v="TRUE"/>
  </r>
  <r>
    <x v="0"/>
    <s v="536"/>
    <x v="483"/>
    <x v="5"/>
    <s v="n/a"/>
    <s v="n/a"/>
    <s v="In mutual alignment with the project"/>
    <s v="Monthly based on effort"/>
    <s v="Monthly based on effort"/>
    <s v="n/a"/>
    <s v="Product related service without profile"/>
    <m/>
    <s v="no technical license protection"/>
    <s v="0"/>
    <n v="0"/>
    <m/>
    <s v="Calculated"/>
    <s v="FALSE"/>
    <m/>
    <s v="none"/>
    <s v="TRUE"/>
  </r>
  <r>
    <x v="0"/>
    <s v="537"/>
    <x v="484"/>
    <x v="5"/>
    <s v="n/a"/>
    <s v="n/a"/>
    <s v="In mutual alignment with the project"/>
    <s v="Monthly based on effort"/>
    <s v="Monthly based on effort"/>
    <s v="n/a"/>
    <s v="Product related service without profile"/>
    <m/>
    <s v="no technical license protection"/>
    <s v="0"/>
    <n v="0"/>
    <m/>
    <s v="Calculated"/>
    <s v="FALSE"/>
    <m/>
    <s v="none"/>
    <s v="TRUE"/>
  </r>
  <r>
    <x v="0"/>
    <s v="538"/>
    <x v="485"/>
    <x v="5"/>
    <s v="n/a"/>
    <s v="n/a"/>
    <s v="In mutual alignment with the project"/>
    <s v="Monthly based on effort"/>
    <s v="Monthly based on effort"/>
    <s v="n/a"/>
    <s v="Product related service without profile"/>
    <m/>
    <s v="no technical license protection"/>
    <s v="0"/>
    <n v="0"/>
    <m/>
    <s v="Calculated"/>
    <s v="FALSE"/>
    <m/>
    <s v="none"/>
    <s v="TRUE"/>
  </r>
  <r>
    <x v="0"/>
    <s v="539"/>
    <x v="486"/>
    <x v="5"/>
    <s v="n/a"/>
    <s v="n/a"/>
    <s v="In mutual alignment with the project"/>
    <s v="Monthly based on effort"/>
    <s v="Monthly based on effort"/>
    <s v="n/a"/>
    <s v="Product related service without profile"/>
    <m/>
    <s v="no technical license protection"/>
    <s v="0"/>
    <n v="0"/>
    <m/>
    <s v="Calculated"/>
    <s v="FALSE"/>
    <m/>
    <s v="none"/>
    <s v="TRUE"/>
  </r>
  <r>
    <x v="1"/>
    <s v="54"/>
    <x v="487"/>
    <x v="308"/>
    <e v="#N/A"/>
    <e v="#N/A"/>
    <e v="#N/A"/>
    <e v="#N/A"/>
    <e v="#N/A"/>
    <e v="#N/A"/>
    <s v="Integration Package"/>
    <m/>
    <s v="no technical license protection"/>
    <m/>
    <n v="10"/>
    <n v="50"/>
    <s v="Fix rate"/>
    <s v="FALSE"/>
    <m/>
    <s v="none"/>
    <s v="TRUE"/>
  </r>
  <r>
    <x v="1"/>
    <s v="55"/>
    <x v="488"/>
    <x v="309"/>
    <e v="#N/A"/>
    <e v="#N/A"/>
    <e v="#N/A"/>
    <e v="#N/A"/>
    <e v="#N/A"/>
    <e v="#N/A"/>
    <s v="Integration Package"/>
    <m/>
    <s v="no technical license protection"/>
    <m/>
    <n v="10"/>
    <n v="50"/>
    <s v="Fix rate"/>
    <s v="FALSE"/>
    <m/>
    <s v="none"/>
    <s v="TRUE"/>
  </r>
  <r>
    <x v="1"/>
    <s v="56"/>
    <x v="489"/>
    <x v="5"/>
    <e v="#N/A"/>
    <e v="#N/A"/>
    <e v="#N/A"/>
    <e v="#N/A"/>
    <e v="#N/A"/>
    <e v="#N/A"/>
    <s v="Training"/>
    <m/>
    <s v="no technical license protection"/>
    <s v="6400"/>
    <n v="10"/>
    <m/>
    <s v="Calculated"/>
    <s v="FALSE"/>
    <m/>
    <s v="none"/>
    <s v="TRUE"/>
  </r>
  <r>
    <x v="1"/>
    <s v="57"/>
    <x v="490"/>
    <x v="166"/>
    <e v="#N/A"/>
    <e v="#N/A"/>
    <e v="#N/A"/>
    <e v="#N/A"/>
    <e v="#N/A"/>
    <e v="#N/A"/>
    <s v="Porting"/>
    <m/>
    <s v="no technical license protection"/>
    <s v="6500"/>
    <n v="10"/>
    <m/>
    <s v="Calculated"/>
    <s v="FALSE"/>
    <m/>
    <s v="none"/>
    <s v="TRUE"/>
  </r>
  <r>
    <x v="1"/>
    <s v="58"/>
    <x v="491"/>
    <x v="5"/>
    <e v="#N/A"/>
    <e v="#N/A"/>
    <e v="#N/A"/>
    <e v="#N/A"/>
    <e v="#N/A"/>
    <e v="#N/A"/>
    <s v="License"/>
    <m/>
    <s v="no technical license protection"/>
    <m/>
    <n v="10"/>
    <n v="50"/>
    <s v="Fix rate"/>
    <s v="FALSE"/>
    <m/>
    <s v="none"/>
    <s v="TRUE"/>
  </r>
  <r>
    <x v="1"/>
    <s v="59"/>
    <x v="492"/>
    <x v="310"/>
    <e v="#N/A"/>
    <e v="#N/A"/>
    <e v="#N/A"/>
    <e v="#N/A"/>
    <e v="#N/A"/>
    <e v="#N/A"/>
    <s v="License"/>
    <m/>
    <s v="no technical license protection"/>
    <m/>
    <n v="10"/>
    <n v="50"/>
    <s v="Fix rate"/>
    <s v="FALSE"/>
    <m/>
    <s v="none"/>
    <s v="TRUE"/>
  </r>
  <r>
    <x v="1"/>
    <s v="6"/>
    <x v="493"/>
    <x v="311"/>
    <e v="#N/A"/>
    <e v="#N/A"/>
    <e v="#N/A"/>
    <e v="#N/A"/>
    <e v="#N/A"/>
    <e v="#N/A"/>
    <s v="License"/>
    <m/>
    <s v="no technical license protection"/>
    <m/>
    <n v="10"/>
    <n v="50"/>
    <s v="Fix rate"/>
    <s v="FALSE"/>
    <m/>
    <s v="none"/>
    <s v="TRUE"/>
  </r>
  <r>
    <x v="1"/>
    <s v="60"/>
    <x v="494"/>
    <x v="5"/>
    <e v="#N/A"/>
    <e v="#N/A"/>
    <e v="#N/A"/>
    <e v="#N/A"/>
    <e v="#N/A"/>
    <e v="#N/A"/>
    <s v="Product related service without profile"/>
    <m/>
    <s v="no technical license protection"/>
    <m/>
    <n v="10"/>
    <m/>
    <s v="Calculated"/>
    <s v="FALSE"/>
    <m/>
    <s v="none"/>
    <s v="TRUE"/>
  </r>
  <r>
    <x v="1"/>
    <s v="61"/>
    <x v="495"/>
    <x v="5"/>
    <e v="#N/A"/>
    <e v="#N/A"/>
    <e v="#N/A"/>
    <e v="#N/A"/>
    <e v="#N/A"/>
    <e v="#N/A"/>
    <s v="Product related service without profile"/>
    <m/>
    <s v="no technical license protection"/>
    <m/>
    <n v="10"/>
    <m/>
    <s v="Calculated"/>
    <s v="FALSE"/>
    <m/>
    <s v="none"/>
    <s v="TRUE"/>
  </r>
  <r>
    <x v="1"/>
    <s v="62"/>
    <x v="496"/>
    <x v="5"/>
    <e v="#N/A"/>
    <e v="#N/A"/>
    <e v="#N/A"/>
    <e v="#N/A"/>
    <e v="#N/A"/>
    <e v="#N/A"/>
    <s v="License"/>
    <m/>
    <s v="no technical license protection"/>
    <s v="6400"/>
    <n v="10"/>
    <n v="50"/>
    <s v="Fix rate"/>
    <s v="FALSE"/>
    <m/>
    <s v="none"/>
    <s v="TRUE"/>
  </r>
  <r>
    <x v="1"/>
    <s v="63"/>
    <x v="497"/>
    <x v="312"/>
    <e v="#N/A"/>
    <e v="#N/A"/>
    <e v="#N/A"/>
    <e v="#N/A"/>
    <e v="#N/A"/>
    <e v="#N/A"/>
    <s v="License"/>
    <m/>
    <s v="no technical license protection"/>
    <m/>
    <n v="10"/>
    <n v="50"/>
    <s v="Fix rate"/>
    <s v="FALSE"/>
    <m/>
    <s v="none"/>
    <s v="TRUE"/>
  </r>
  <r>
    <x v="1"/>
    <s v="64"/>
    <x v="498"/>
    <x v="5"/>
    <e v="#N/A"/>
    <e v="#N/A"/>
    <e v="#N/A"/>
    <e v="#N/A"/>
    <e v="#N/A"/>
    <e v="#N/A"/>
    <s v="License"/>
    <m/>
    <s v="no technical license protection"/>
    <m/>
    <n v="10"/>
    <n v="50"/>
    <s v="Fix rate"/>
    <s v="FALSE"/>
    <m/>
    <s v="none"/>
    <s v="TRUE"/>
  </r>
  <r>
    <x v="1"/>
    <s v="65"/>
    <x v="499"/>
    <x v="313"/>
    <e v="#N/A"/>
    <e v="#N/A"/>
    <e v="#N/A"/>
    <e v="#N/A"/>
    <e v="#N/A"/>
    <e v="#N/A"/>
    <s v="License"/>
    <m/>
    <s v="no technical license protection"/>
    <s v="6400"/>
    <n v="10"/>
    <n v="50"/>
    <s v="Fix rate"/>
    <s v="FALSE"/>
    <m/>
    <s v="none"/>
    <s v="TRUE"/>
  </r>
  <r>
    <x v="1"/>
    <s v="66"/>
    <x v="500"/>
    <x v="314"/>
    <e v="#N/A"/>
    <e v="#N/A"/>
    <e v="#N/A"/>
    <e v="#N/A"/>
    <e v="#N/A"/>
    <e v="#N/A"/>
    <s v="License"/>
    <m/>
    <s v="no technical license protection"/>
    <m/>
    <n v="10"/>
    <n v="50"/>
    <s v="Fix rate"/>
    <s v="FALSE"/>
    <m/>
    <s v="none"/>
    <s v="TRUE"/>
  </r>
  <r>
    <x v="1"/>
    <s v="67"/>
    <x v="501"/>
    <x v="152"/>
    <e v="#N/A"/>
    <e v="#N/A"/>
    <e v="#N/A"/>
    <e v="#N/A"/>
    <e v="#N/A"/>
    <e v="#N/A"/>
    <s v="License"/>
    <m/>
    <s v="no technical license protection"/>
    <m/>
    <n v="10"/>
    <n v="50"/>
    <s v="Fix rate"/>
    <s v="FALSE"/>
    <m/>
    <s v="none"/>
    <s v="TRUE"/>
  </r>
  <r>
    <x v="1"/>
    <s v="68"/>
    <x v="502"/>
    <x v="5"/>
    <e v="#N/A"/>
    <e v="#N/A"/>
    <e v="#N/A"/>
    <e v="#N/A"/>
    <e v="#N/A"/>
    <e v="#N/A"/>
    <s v="Product related service without profile"/>
    <m/>
    <s v="no technical license protection"/>
    <m/>
    <n v="10"/>
    <m/>
    <s v="Calculated"/>
    <s v="FALSE"/>
    <m/>
    <s v="none"/>
    <s v="TRUE"/>
  </r>
  <r>
    <x v="1"/>
    <s v="69"/>
    <x v="503"/>
    <x v="5"/>
    <e v="#N/A"/>
    <e v="#N/A"/>
    <e v="#N/A"/>
    <e v="#N/A"/>
    <e v="#N/A"/>
    <e v="#N/A"/>
    <s v="Product related service without profile"/>
    <m/>
    <s v="no technical license protection"/>
    <m/>
    <n v="10"/>
    <m/>
    <s v="Calculated"/>
    <s v="FALSE"/>
    <m/>
    <s v="none"/>
    <s v="TRUE"/>
  </r>
  <r>
    <x v="1"/>
    <s v="7"/>
    <x v="504"/>
    <x v="315"/>
    <e v="#N/A"/>
    <e v="#N/A"/>
    <e v="#N/A"/>
    <e v="#N/A"/>
    <e v="#N/A"/>
    <e v="#N/A"/>
    <s v="License"/>
    <m/>
    <s v="no technical license protection"/>
    <m/>
    <n v="10"/>
    <n v="50"/>
    <s v="Fix rate"/>
    <s v="FALSE"/>
    <m/>
    <s v="none"/>
    <s v="TRUE"/>
  </r>
  <r>
    <x v="1"/>
    <s v="70"/>
    <x v="505"/>
    <x v="5"/>
    <e v="#N/A"/>
    <e v="#N/A"/>
    <e v="#N/A"/>
    <e v="#N/A"/>
    <e v="#N/A"/>
    <e v="#N/A"/>
    <s v="Product related service without profile"/>
    <m/>
    <s v="no technical license protection"/>
    <m/>
    <n v="10"/>
    <m/>
    <s v="Calculated"/>
    <s v="FALSE"/>
    <m/>
    <s v="none"/>
    <s v="TRUE"/>
  </r>
  <r>
    <x v="1"/>
    <s v="71"/>
    <x v="506"/>
    <x v="5"/>
    <e v="#N/A"/>
    <e v="#N/A"/>
    <e v="#N/A"/>
    <e v="#N/A"/>
    <e v="#N/A"/>
    <e v="#N/A"/>
    <s v="Product related service without profile"/>
    <m/>
    <s v="no technical license protection"/>
    <m/>
    <n v="10"/>
    <m/>
    <s v="Calculated"/>
    <s v="FALSE"/>
    <m/>
    <s v="none"/>
    <s v="TRUE"/>
  </r>
  <r>
    <x v="1"/>
    <s v="72"/>
    <x v="507"/>
    <x v="5"/>
    <e v="#N/A"/>
    <e v="#N/A"/>
    <e v="#N/A"/>
    <e v="#N/A"/>
    <e v="#N/A"/>
    <e v="#N/A"/>
    <s v="Product related service without profile"/>
    <m/>
    <s v="no technical license protection"/>
    <m/>
    <n v="10"/>
    <m/>
    <s v="Calculated"/>
    <s v="FALSE"/>
    <m/>
    <s v="none"/>
    <s v="TRUE"/>
  </r>
  <r>
    <x v="1"/>
    <s v="73"/>
    <x v="508"/>
    <x v="5"/>
    <e v="#N/A"/>
    <e v="#N/A"/>
    <e v="#N/A"/>
    <e v="#N/A"/>
    <e v="#N/A"/>
    <e v="#N/A"/>
    <s v="Product related service without profile"/>
    <m/>
    <s v="no technical license protection"/>
    <m/>
    <n v="10"/>
    <m/>
    <s v="Calculated"/>
    <s v="FALSE"/>
    <m/>
    <s v="none"/>
    <s v="TRUE"/>
  </r>
  <r>
    <x v="1"/>
    <s v="74"/>
    <x v="509"/>
    <x v="316"/>
    <e v="#N/A"/>
    <e v="#N/A"/>
    <e v="#N/A"/>
    <e v="#N/A"/>
    <e v="#N/A"/>
    <e v="#N/A"/>
    <s v="License"/>
    <m/>
    <s v="ADTF Node-Locked License File"/>
    <s v="6400"/>
    <n v="10"/>
    <m/>
    <s v="Calculated"/>
    <s v="TRUE"/>
    <m/>
    <s v="UpdateRightByConfiguration"/>
    <s v="TRUE"/>
  </r>
  <r>
    <x v="1"/>
    <s v="75"/>
    <x v="510"/>
    <x v="317"/>
    <e v="#N/A"/>
    <e v="#N/A"/>
    <e v="#N/A"/>
    <e v="#N/A"/>
    <e v="#N/A"/>
    <e v="#N/A"/>
    <s v="License"/>
    <m/>
    <s v="ADTF Node-Locked License File"/>
    <s v="6400"/>
    <n v="10"/>
    <m/>
    <s v="Calculated"/>
    <s v="TRUE"/>
    <n v="10"/>
    <s v="UpdateRightByConfiguration"/>
    <s v="TRUE"/>
  </r>
  <r>
    <x v="1"/>
    <s v="76"/>
    <x v="511"/>
    <x v="318"/>
    <e v="#N/A"/>
    <e v="#N/A"/>
    <e v="#N/A"/>
    <e v="#N/A"/>
    <e v="#N/A"/>
    <e v="#N/A"/>
    <s v="License"/>
    <m/>
    <s v="no technical license protection"/>
    <m/>
    <n v="10"/>
    <n v="50"/>
    <s v="Fix rate"/>
    <s v="FALSE"/>
    <m/>
    <s v="none"/>
    <s v="TRUE"/>
  </r>
  <r>
    <x v="1"/>
    <s v="77"/>
    <x v="512"/>
    <x v="319"/>
    <e v="#N/A"/>
    <e v="#N/A"/>
    <e v="#N/A"/>
    <e v="#N/A"/>
    <e v="#N/A"/>
    <e v="#N/A"/>
    <s v="License"/>
    <m/>
    <s v="no technical license protection"/>
    <m/>
    <n v="10"/>
    <n v="50"/>
    <s v="Fix rate"/>
    <s v="FALSE"/>
    <m/>
    <s v="none"/>
    <s v="TRUE"/>
  </r>
  <r>
    <x v="1"/>
    <s v="78"/>
    <x v="513"/>
    <x v="320"/>
    <e v="#N/A"/>
    <e v="#N/A"/>
    <e v="#N/A"/>
    <e v="#N/A"/>
    <e v="#N/A"/>
    <e v="#N/A"/>
    <s v="License"/>
    <m/>
    <s v="ADTF Node-Locked License File"/>
    <s v="6400"/>
    <n v="10"/>
    <m/>
    <s v="Calculated"/>
    <s v="FALSE"/>
    <n v="3"/>
    <s v="UpdateRightByConfiguration"/>
    <s v="TRUE"/>
  </r>
  <r>
    <x v="1"/>
    <s v="79"/>
    <x v="514"/>
    <x v="321"/>
    <e v="#N/A"/>
    <e v="#N/A"/>
    <e v="#N/A"/>
    <e v="#N/A"/>
    <e v="#N/A"/>
    <e v="#N/A"/>
    <s v="License"/>
    <m/>
    <s v="ADTF Floating License File"/>
    <s v="6400"/>
    <n v="10"/>
    <m/>
    <s v="Calculated"/>
    <s v="TRUE"/>
    <n v="10"/>
    <s v="UpdateRightByConfiguration"/>
    <s v="TRUE"/>
  </r>
  <r>
    <x v="0"/>
    <s v="8"/>
    <x v="515"/>
    <x v="322"/>
    <s v="n/a"/>
    <s v="n/a"/>
    <s v="FINALIZED PURCHASE PROCESS + 16 weeks"/>
    <s v="One-time payment"/>
    <s v="With FINAL DELIVERY"/>
    <s v="n/a"/>
    <s v="Hardware"/>
    <m/>
    <s v="no technical license protection"/>
    <s v="6400"/>
    <n v="10"/>
    <m/>
    <s v="Calculated"/>
    <s v="FALSE"/>
    <m/>
    <s v="none"/>
    <s v="TRUE"/>
  </r>
  <r>
    <x v="1"/>
    <s v="80"/>
    <x v="516"/>
    <x v="323"/>
    <e v="#N/A"/>
    <e v="#N/A"/>
    <e v="#N/A"/>
    <e v="#N/A"/>
    <e v="#N/A"/>
    <e v="#N/A"/>
    <s v="License"/>
    <m/>
    <s v="no technical license protection"/>
    <m/>
    <n v="10"/>
    <n v="50"/>
    <s v="Fix rate"/>
    <s v="FALSE"/>
    <m/>
    <s v="none"/>
    <s v="TRUE"/>
  </r>
  <r>
    <x v="1"/>
    <s v="81"/>
    <x v="517"/>
    <x v="324"/>
    <e v="#N/A"/>
    <e v="#N/A"/>
    <e v="#N/A"/>
    <e v="#N/A"/>
    <e v="#N/A"/>
    <e v="#N/A"/>
    <s v="License"/>
    <m/>
    <s v="no technical license protection"/>
    <s v="6400"/>
    <n v="10"/>
    <m/>
    <s v="Calculated"/>
    <s v="FALSE"/>
    <n v="5"/>
    <s v="UpdateRightByConfiguration"/>
    <s v="TRUE"/>
  </r>
  <r>
    <x v="1"/>
    <s v="82"/>
    <x v="518"/>
    <x v="325"/>
    <e v="#N/A"/>
    <e v="#N/A"/>
    <e v="#N/A"/>
    <e v="#N/A"/>
    <e v="#N/A"/>
    <e v="#N/A"/>
    <s v="License"/>
    <m/>
    <s v="no technical license protection"/>
    <s v="6400"/>
    <n v="10"/>
    <m/>
    <s v="Calculated"/>
    <s v="FALSE"/>
    <n v="10"/>
    <s v="UpdateRightByConfiguration"/>
    <s v="TRUE"/>
  </r>
  <r>
    <x v="1"/>
    <s v="83"/>
    <x v="519"/>
    <x v="116"/>
    <e v="#N/A"/>
    <e v="#N/A"/>
    <e v="#N/A"/>
    <e v="#N/A"/>
    <e v="#N/A"/>
    <e v="#N/A"/>
    <s v="License"/>
    <m/>
    <s v="no technical license protection"/>
    <s v="6400"/>
    <n v="10"/>
    <m/>
    <s v="Calculated"/>
    <s v="TRUE"/>
    <n v="10"/>
    <s v="TotalAmountAsUpdateRight"/>
    <s v="TRUE"/>
  </r>
  <r>
    <x v="1"/>
    <s v="84"/>
    <x v="520"/>
    <x v="326"/>
    <e v="#N/A"/>
    <e v="#N/A"/>
    <e v="#N/A"/>
    <e v="#N/A"/>
    <e v="#N/A"/>
    <e v="#N/A"/>
    <s v="License"/>
    <m/>
    <s v="no technical license protection"/>
    <m/>
    <n v="10"/>
    <n v="50"/>
    <s v="Fix rate"/>
    <s v="FALSE"/>
    <m/>
    <s v="none"/>
    <s v="TRUE"/>
  </r>
  <r>
    <x v="1"/>
    <s v="85"/>
    <x v="521"/>
    <x v="216"/>
    <e v="#N/A"/>
    <e v="#N/A"/>
    <e v="#N/A"/>
    <e v="#N/A"/>
    <e v="#N/A"/>
    <e v="#N/A"/>
    <s v="Product related service without profile"/>
    <m/>
    <s v="no technical license protection"/>
    <s v="6400"/>
    <n v="10"/>
    <m/>
    <s v="Calculated"/>
    <s v="FALSE"/>
    <n v="10"/>
    <s v="none"/>
    <s v="TRUE"/>
  </r>
  <r>
    <x v="1"/>
    <s v="86"/>
    <x v="522"/>
    <x v="5"/>
    <e v="#N/A"/>
    <e v="#N/A"/>
    <e v="#N/A"/>
    <e v="#N/A"/>
    <e v="#N/A"/>
    <e v="#N/A"/>
    <s v="License"/>
    <m/>
    <s v="no technical license protection"/>
    <m/>
    <n v="10"/>
    <n v="50"/>
    <s v="Fix rate"/>
    <s v="FALSE"/>
    <m/>
    <s v="none"/>
    <s v="TRUE"/>
  </r>
  <r>
    <x v="1"/>
    <s v="87"/>
    <x v="523"/>
    <x v="5"/>
    <e v="#N/A"/>
    <e v="#N/A"/>
    <e v="#N/A"/>
    <e v="#N/A"/>
    <e v="#N/A"/>
    <e v="#N/A"/>
    <s v="License"/>
    <m/>
    <s v="no technical license protection"/>
    <m/>
    <n v="10"/>
    <n v="50"/>
    <s v="Fix rate"/>
    <s v="FALSE"/>
    <m/>
    <s v="none"/>
    <s v="TRUE"/>
  </r>
  <r>
    <x v="1"/>
    <s v="88"/>
    <x v="524"/>
    <x v="327"/>
    <e v="#N/A"/>
    <e v="#N/A"/>
    <e v="#N/A"/>
    <e v="#N/A"/>
    <e v="#N/A"/>
    <e v="#N/A"/>
    <s v="License"/>
    <m/>
    <s v="no technical license protection"/>
    <m/>
    <n v="10"/>
    <n v="50"/>
    <s v="Fix rate"/>
    <s v="FALSE"/>
    <m/>
    <s v="none"/>
    <s v="TRUE"/>
  </r>
  <r>
    <x v="1"/>
    <s v="89"/>
    <x v="525"/>
    <x v="328"/>
    <e v="#N/A"/>
    <e v="#N/A"/>
    <e v="#N/A"/>
    <e v="#N/A"/>
    <e v="#N/A"/>
    <e v="#N/A"/>
    <s v="License"/>
    <m/>
    <s v="no technical license protection"/>
    <m/>
    <n v="10"/>
    <n v="50"/>
    <s v="Fix rate"/>
    <s v="FALSE"/>
    <m/>
    <s v="none"/>
    <s v="TRUE"/>
  </r>
  <r>
    <x v="1"/>
    <s v="9"/>
    <x v="526"/>
    <x v="5"/>
    <e v="#N/A"/>
    <e v="#N/A"/>
    <e v="#N/A"/>
    <e v="#N/A"/>
    <e v="#N/A"/>
    <e v="#N/A"/>
    <s v="Training"/>
    <m/>
    <s v="no technical license protection"/>
    <s v="6400"/>
    <n v="10"/>
    <m/>
    <s v="Calculated"/>
    <s v="FALSE"/>
    <m/>
    <s v="none"/>
    <s v="TRUE"/>
  </r>
  <r>
    <x v="0"/>
    <s v="90"/>
    <x v="527"/>
    <x v="329"/>
    <s v="perpetual"/>
    <s v="12 months"/>
    <s v="FINALIZED PURCHASE PROCESS + 2 weeks"/>
    <s v="One-time payment"/>
    <s v="With FINAL DELIVERY"/>
    <s v="Reproduction and Distribution License"/>
    <s v="License"/>
    <m/>
    <s v="no technical license protection"/>
    <s v="6400"/>
    <n v="10"/>
    <n v="50"/>
    <s v="Fix rate"/>
    <s v="TRUE"/>
    <m/>
    <s v="UpdateRightByConfiguration"/>
    <s v="TRUE"/>
  </r>
  <r>
    <x v="1"/>
    <s v="91"/>
    <x v="528"/>
    <x v="89"/>
    <e v="#N/A"/>
    <e v="#N/A"/>
    <e v="#N/A"/>
    <e v="#N/A"/>
    <e v="#N/A"/>
    <e v="#N/A"/>
    <s v="License"/>
    <m/>
    <s v="no technical license protection"/>
    <m/>
    <n v="10"/>
    <n v="50"/>
    <s v="Fix rate"/>
    <s v="FALSE"/>
    <m/>
    <s v="none"/>
    <s v="TRUE"/>
  </r>
  <r>
    <x v="1"/>
    <s v="92"/>
    <x v="529"/>
    <x v="330"/>
    <e v="#N/A"/>
    <e v="#N/A"/>
    <e v="#N/A"/>
    <e v="#N/A"/>
    <e v="#N/A"/>
    <e v="#N/A"/>
    <s v="Product related service without profile"/>
    <m/>
    <s v="no technical license protection"/>
    <m/>
    <n v="10"/>
    <m/>
    <s v="Calculated"/>
    <s v="FALSE"/>
    <m/>
    <s v="none"/>
    <s v="TRUE"/>
  </r>
  <r>
    <x v="1"/>
    <s v="93"/>
    <x v="530"/>
    <x v="331"/>
    <e v="#N/A"/>
    <e v="#N/A"/>
    <e v="#N/A"/>
    <e v="#N/A"/>
    <e v="#N/A"/>
    <e v="#N/A"/>
    <s v="Product related service without profile"/>
    <m/>
    <s v="no technical license protection"/>
    <m/>
    <n v="10"/>
    <m/>
    <s v="Calculated"/>
    <s v="FALSE"/>
    <m/>
    <s v="none"/>
    <s v="TRUE"/>
  </r>
  <r>
    <x v="1"/>
    <s v="94"/>
    <x v="531"/>
    <x v="332"/>
    <e v="#N/A"/>
    <e v="#N/A"/>
    <e v="#N/A"/>
    <e v="#N/A"/>
    <e v="#N/A"/>
    <e v="#N/A"/>
    <s v="Product related service without profile"/>
    <m/>
    <s v="no technical license protection"/>
    <s v="6500"/>
    <n v="10"/>
    <m/>
    <s v="Calculated"/>
    <s v="FALSE"/>
    <m/>
    <s v="none"/>
    <s v="TRUE"/>
  </r>
  <r>
    <x v="1"/>
    <s v="95"/>
    <x v="532"/>
    <x v="333"/>
    <e v="#N/A"/>
    <e v="#N/A"/>
    <e v="#N/A"/>
    <e v="#N/A"/>
    <e v="#N/A"/>
    <e v="#N/A"/>
    <s v="Product related service without profile"/>
    <m/>
    <s v="no technical license protection"/>
    <m/>
    <n v="10"/>
    <m/>
    <s v="Calculated"/>
    <s v="FALSE"/>
    <m/>
    <s v="none"/>
    <s v="TRUE"/>
  </r>
  <r>
    <x v="1"/>
    <s v="96"/>
    <x v="533"/>
    <x v="5"/>
    <e v="#N/A"/>
    <e v="#N/A"/>
    <e v="#N/A"/>
    <e v="#N/A"/>
    <e v="#N/A"/>
    <e v="#N/A"/>
    <s v="Product related service without profile"/>
    <m/>
    <s v="no technical license protection"/>
    <m/>
    <n v="10"/>
    <m/>
    <s v="Calculated"/>
    <s v="FALSE"/>
    <m/>
    <s v="none"/>
    <s v="TRUE"/>
  </r>
  <r>
    <x v="0"/>
    <s v="97"/>
    <x v="534"/>
    <x v="5"/>
    <s v="n/a"/>
    <s v="n/a"/>
    <s v="In mutual alignment with the project"/>
    <s v="One-time payment"/>
    <s v="With FINAL DELIVERY"/>
    <s v="n/a"/>
    <s v="Product related service without profile"/>
    <m/>
    <s v="no technical license protection"/>
    <s v="6500"/>
    <n v="10"/>
    <m/>
    <s v="Calculated"/>
    <s v="FALSE"/>
    <m/>
    <s v="none"/>
    <s v="TRUE"/>
  </r>
  <r>
    <x v="1"/>
    <s v="98"/>
    <x v="535"/>
    <x v="5"/>
    <e v="#N/A"/>
    <e v="#N/A"/>
    <e v="#N/A"/>
    <e v="#N/A"/>
    <e v="#N/A"/>
    <e v="#N/A"/>
    <s v="License"/>
    <m/>
    <s v="no technical license protection"/>
    <m/>
    <n v="10"/>
    <n v="50"/>
    <s v="Fix rate"/>
    <s v="FALSE"/>
    <m/>
    <s v="none"/>
    <s v="TRUE"/>
  </r>
  <r>
    <x v="1"/>
    <s v="99"/>
    <x v="536"/>
    <x v="153"/>
    <e v="#N/A"/>
    <e v="#N/A"/>
    <e v="#N/A"/>
    <e v="#N/A"/>
    <e v="#N/A"/>
    <e v="#N/A"/>
    <s v="License"/>
    <m/>
    <s v="no technical license protection"/>
    <m/>
    <n v="10"/>
    <n v="50"/>
    <s v="Fix rate"/>
    <s v="FALSE"/>
    <m/>
    <s v="none"/>
    <s v="TR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38D1C-374E-4A64-991F-BD619CE8A78D}" name="PivotTable2" cacheId="122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B188" firstHeaderRow="1" firstDataRow="1" firstDataCol="2" rowPageCount="1" colPageCount="1"/>
  <pivotFields count="21">
    <pivotField axis="axisPage" compact="0" showAll="0">
      <items count="3">
        <item x="0"/>
        <item x="1"/>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items count="538">
        <item x="502"/>
        <item x="503"/>
        <item x="505"/>
        <item x="506"/>
        <item x="247"/>
        <item x="388"/>
        <item x="44"/>
        <item x="5"/>
        <item x="3"/>
        <item x="453"/>
        <item x="452"/>
        <item x="269"/>
        <item x="30"/>
        <item x="277"/>
        <item x="276"/>
        <item x="280"/>
        <item x="279"/>
        <item x="214"/>
        <item x="213"/>
        <item x="275"/>
        <item x="352"/>
        <item x="365"/>
        <item x="358"/>
        <item x="355"/>
        <item x="359"/>
        <item x="357"/>
        <item x="364"/>
        <item x="354"/>
        <item x="353"/>
        <item x="363"/>
        <item x="403"/>
        <item x="287"/>
        <item x="45"/>
        <item x="366"/>
        <item x="377"/>
        <item x="410"/>
        <item x="527"/>
        <item x="528"/>
        <item x="234"/>
        <item x="78"/>
        <item x="310"/>
        <item x="312"/>
        <item x="6"/>
        <item x="14"/>
        <item x="12"/>
        <item x="493"/>
        <item x="216"/>
        <item x="47"/>
        <item x="407"/>
        <item x="74"/>
        <item x="205"/>
        <item x="475"/>
        <item x="477"/>
        <item x="238"/>
        <item x="259"/>
        <item x="264"/>
        <item x="488"/>
        <item x="487"/>
        <item x="468"/>
        <item x="480"/>
        <item x="215"/>
        <item x="21"/>
        <item x="473"/>
        <item x="460"/>
        <item x="350"/>
        <item x="185"/>
        <item x="340"/>
        <item x="278"/>
        <item x="289"/>
        <item x="491"/>
        <item x="341"/>
        <item x="10"/>
        <item x="108"/>
        <item x="48"/>
        <item x="497"/>
        <item x="316"/>
        <item x="451"/>
        <item x="158"/>
        <item x="203"/>
        <item x="227"/>
        <item x="165"/>
        <item x="226"/>
        <item x="225"/>
        <item x="157"/>
        <item x="123"/>
        <item x="305"/>
        <item x="329"/>
        <item x="306"/>
        <item x="524"/>
        <item x="466"/>
        <item x="525"/>
        <item x="167"/>
        <item x="499"/>
        <item x="0"/>
        <item x="68"/>
        <item x="456"/>
        <item x="256"/>
        <item x="2"/>
        <item x="141"/>
        <item x="40"/>
        <item x="249"/>
        <item x="193"/>
        <item x="197"/>
        <item x="250"/>
        <item x="189"/>
        <item x="136"/>
        <item x="24"/>
        <item x="69"/>
        <item x="222"/>
        <item x="536"/>
        <item x="135"/>
        <item x="172"/>
        <item x="224"/>
        <item x="41"/>
        <item x="267"/>
        <item x="258"/>
        <item x="446"/>
        <item x="445"/>
        <item x="447"/>
        <item x="448"/>
        <item x="442"/>
        <item x="55"/>
        <item x="59"/>
        <item x="62"/>
        <item x="406"/>
        <item x="337"/>
        <item x="246"/>
        <item x="336"/>
        <item x="318"/>
        <item x="317"/>
        <item x="455"/>
        <item x="35"/>
        <item x="103"/>
        <item x="104"/>
        <item x="101"/>
        <item x="102"/>
        <item x="82"/>
        <item x="83"/>
        <item x="8"/>
        <item x="36"/>
        <item x="84"/>
        <item x="20"/>
        <item x="33"/>
        <item x="52"/>
        <item x="51"/>
        <item x="76"/>
        <item x="75"/>
        <item x="49"/>
        <item x="50"/>
        <item x="39"/>
        <item x="77"/>
        <item x="202"/>
        <item x="159"/>
        <item x="239"/>
        <item x="490"/>
        <item x="496"/>
        <item x="257"/>
        <item x="72"/>
        <item x="34"/>
        <item x="504"/>
        <item x="272"/>
        <item x="271"/>
        <item x="273"/>
        <item x="274"/>
        <item x="220"/>
        <item x="219"/>
        <item x="270"/>
        <item x="362"/>
        <item x="361"/>
        <item x="360"/>
        <item x="178"/>
        <item x="111"/>
        <item x="457"/>
        <item x="131"/>
        <item x="13"/>
        <item x="142"/>
        <item x="268"/>
        <item x="516"/>
        <item x="253"/>
        <item x="195"/>
        <item x="199"/>
        <item x="254"/>
        <item x="19"/>
        <item x="18"/>
        <item x="138"/>
        <item x="25"/>
        <item x="394"/>
        <item x="177"/>
        <item x="395"/>
        <item x="179"/>
        <item x="387"/>
        <item x="293"/>
        <item x="392"/>
        <item x="291"/>
        <item x="397"/>
        <item x="333"/>
        <item x="137"/>
        <item x="292"/>
        <item x="514"/>
        <item x="380"/>
        <item x="369"/>
        <item x="405"/>
        <item x="386"/>
        <item x="402"/>
        <item x="382"/>
        <item x="371"/>
        <item x="391"/>
        <item x="290"/>
        <item x="286"/>
        <item x="425"/>
        <item x="117"/>
        <item x="118"/>
        <item x="187"/>
        <item x="190"/>
        <item x="188"/>
        <item x="121"/>
        <item x="122"/>
        <item x="119"/>
        <item x="120"/>
        <item x="515"/>
        <item x="182"/>
        <item x="42"/>
        <item x="467"/>
        <item x="399"/>
        <item x="129"/>
        <item x="127"/>
        <item x="412"/>
        <item x="125"/>
        <item x="459"/>
        <item x="124"/>
        <item x="126"/>
        <item x="411"/>
        <item x="130"/>
        <item x="422"/>
        <item x="420"/>
        <item x="128"/>
        <item x="423"/>
        <item x="419"/>
        <item x="458"/>
        <item x="46"/>
        <item x="174"/>
        <item x="242"/>
        <item x="260"/>
        <item x="261"/>
        <item x="265"/>
        <item x="266"/>
        <item x="324"/>
        <item x="326"/>
        <item x="323"/>
        <item x="327"/>
        <item x="325"/>
        <item x="31"/>
        <item x="97"/>
        <item x="295"/>
        <item x="296"/>
        <item x="143"/>
        <item x="144"/>
        <item x="148"/>
        <item x="149"/>
        <item x="152"/>
        <item x="153"/>
        <item x="472"/>
        <item x="32"/>
        <item x="38"/>
        <item x="7"/>
        <item x="535"/>
        <item x="134"/>
        <item x="283"/>
        <item x="282"/>
        <item x="284"/>
        <item x="285"/>
        <item x="218"/>
        <item x="217"/>
        <item x="281"/>
        <item x="479"/>
        <item x="469"/>
        <item x="465"/>
        <item x="464"/>
        <item x="162"/>
        <item x="223"/>
        <item x="4"/>
        <item x="105"/>
        <item x="163"/>
        <item x="80"/>
        <item x="507"/>
        <item x="508"/>
        <item x="79"/>
        <item x="173"/>
        <item x="348"/>
        <item x="470"/>
        <item x="206"/>
        <item x="132"/>
        <item x="63"/>
        <item x="332"/>
        <item x="330"/>
        <item x="314"/>
        <item x="303"/>
        <item x="11"/>
        <item x="511"/>
        <item x="520"/>
        <item x="512"/>
        <item x="176"/>
        <item x="194"/>
        <item x="85"/>
        <item x="198"/>
        <item x="17"/>
        <item x="16"/>
        <item x="207"/>
        <item x="67"/>
        <item x="66"/>
        <item x="335"/>
        <item x="331"/>
        <item x="315"/>
        <item x="304"/>
        <item x="393"/>
        <item x="519"/>
        <item x="368"/>
        <item x="181"/>
        <item x="208"/>
        <item x="65"/>
        <item x="161"/>
        <item x="396"/>
        <item x="210"/>
        <item x="133"/>
        <item x="64"/>
        <item x="510"/>
        <item x="379"/>
        <item x="383"/>
        <item x="404"/>
        <item x="401"/>
        <item x="288"/>
        <item x="374"/>
        <item x="518"/>
        <item x="372"/>
        <item x="513"/>
        <item x="373"/>
        <item x="517"/>
        <item x="381"/>
        <item x="370"/>
        <item x="180"/>
        <item x="509"/>
        <item x="378"/>
        <item x="321"/>
        <item x="375"/>
        <item x="319"/>
        <item x="376"/>
        <item x="320"/>
        <item x="302"/>
        <item x="385"/>
        <item x="390"/>
        <item x="384"/>
        <item x="389"/>
        <item x="23"/>
        <item x="421"/>
        <item x="164"/>
        <item x="432"/>
        <item x="221"/>
        <item x="474"/>
        <item x="349"/>
        <item x="534"/>
        <item x="1"/>
        <item x="15"/>
        <item x="236"/>
        <item x="212"/>
        <item x="200"/>
        <item x="416"/>
        <item x="156"/>
        <item x="523"/>
        <item x="171"/>
        <item x="169"/>
        <item x="166"/>
        <item x="313"/>
        <item x="230"/>
        <item x="231"/>
        <item x="232"/>
        <item x="229"/>
        <item x="414"/>
        <item x="415"/>
        <item x="184"/>
        <item x="9"/>
        <item x="345"/>
        <item x="356"/>
        <item x="145"/>
        <item x="462"/>
        <item x="461"/>
        <item x="463"/>
        <item x="106"/>
        <item x="28"/>
        <item x="37"/>
        <item x="109"/>
        <item x="498"/>
        <item x="26"/>
        <item x="27"/>
        <item x="29"/>
        <item x="294"/>
        <item x="112"/>
        <item x="367"/>
        <item x="409"/>
        <item x="300"/>
        <item x="311"/>
        <item x="89"/>
        <item x="492"/>
        <item x="322"/>
        <item x="334"/>
        <item x="100"/>
        <item x="443"/>
        <item x="297"/>
        <item x="298"/>
        <item x="146"/>
        <item x="147"/>
        <item x="150"/>
        <item x="151"/>
        <item x="154"/>
        <item x="155"/>
        <item x="183"/>
        <item x="243"/>
        <item x="244"/>
        <item x="90"/>
        <item x="95"/>
        <item x="170"/>
        <item x="168"/>
        <item x="92"/>
        <item x="86"/>
        <item x="99"/>
        <item x="87"/>
        <item x="81"/>
        <item x="96"/>
        <item x="91"/>
        <item x="88"/>
        <item x="93"/>
        <item x="98"/>
        <item x="94"/>
        <item x="408"/>
        <item x="228"/>
        <item x="240"/>
        <item x="233"/>
        <item x="175"/>
        <item x="241"/>
        <item x="262"/>
        <item x="263"/>
        <item x="532"/>
        <item x="400"/>
        <item x="346"/>
        <item x="343"/>
        <item x="347"/>
        <item x="427"/>
        <item x="435"/>
        <item x="342"/>
        <item x="439"/>
        <item x="428"/>
        <item x="433"/>
        <item x="429"/>
        <item x="436"/>
        <item x="440"/>
        <item x="430"/>
        <item x="437"/>
        <item x="344"/>
        <item x="431"/>
        <item x="438"/>
        <item x="441"/>
        <item x="434"/>
        <item x="58"/>
        <item x="57"/>
        <item x="201"/>
        <item x="160"/>
        <item x="110"/>
        <item x="116"/>
        <item x="115"/>
        <item x="114"/>
        <item x="113"/>
        <item x="211"/>
        <item x="351"/>
        <item x="444"/>
        <item x="255"/>
        <item x="235"/>
        <item x="191"/>
        <item x="424"/>
        <item x="70"/>
        <item x="454"/>
        <item x="196"/>
        <item x="237"/>
        <item x="251"/>
        <item x="252"/>
        <item x="71"/>
        <item x="192"/>
        <item x="500"/>
        <item x="501"/>
        <item x="299"/>
        <item x="417"/>
        <item x="426"/>
        <item x="43"/>
        <item x="418"/>
        <item x="529"/>
        <item x="530"/>
        <item x="495"/>
        <item x="531"/>
        <item x="494"/>
        <item x="450"/>
        <item x="338"/>
        <item x="339"/>
        <item x="481"/>
        <item x="521"/>
        <item x="413"/>
        <item x="61"/>
        <item x="54"/>
        <item x="328"/>
        <item x="56"/>
        <item x="471"/>
        <item x="482"/>
        <item x="483"/>
        <item x="484"/>
        <item x="485"/>
        <item x="486"/>
        <item x="476"/>
        <item x="186"/>
        <item x="140"/>
        <item x="209"/>
        <item x="139"/>
        <item x="449"/>
        <item x="478"/>
        <item x="398"/>
        <item x="204"/>
        <item x="307"/>
        <item x="53"/>
        <item x="309"/>
        <item x="526"/>
        <item x="489"/>
        <item x="22"/>
        <item x="60"/>
        <item x="308"/>
        <item x="73"/>
        <item x="522"/>
        <item x="248"/>
        <item x="533"/>
        <item x="301"/>
        <item x="245"/>
        <item x="107"/>
        <item t="default"/>
      </items>
      <extLst>
        <ext xmlns:x14="http://schemas.microsoft.com/office/spreadsheetml/2009/9/main" uri="{2946ED86-A175-432a-8AC1-64E0C546D7DE}">
          <x14:pivotField fillDownLabels="1"/>
        </ext>
      </extLst>
    </pivotField>
    <pivotField axis="axisRow" compact="0" showAll="0">
      <items count="335">
        <item x="290"/>
        <item x="303"/>
        <item x="38"/>
        <item x="12"/>
        <item x="10"/>
        <item x="253"/>
        <item x="251"/>
        <item x="245"/>
        <item x="243"/>
        <item x="244"/>
        <item x="287"/>
        <item x="0"/>
        <item x="302"/>
        <item x="222"/>
        <item x="221"/>
        <item x="172"/>
        <item x="29"/>
        <item x="322"/>
        <item x="296"/>
        <item x="299"/>
        <item x="264"/>
        <item x="216"/>
        <item x="301"/>
        <item x="28"/>
        <item x="254"/>
        <item x="252"/>
        <item x="136"/>
        <item x="155"/>
        <item x="101"/>
        <item x="209"/>
        <item x="282"/>
        <item x="102"/>
        <item x="151"/>
        <item x="219"/>
        <item x="109"/>
        <item x="70"/>
        <item x="258"/>
        <item x="256"/>
        <item x="127"/>
        <item x="288"/>
        <item x="61"/>
        <item x="277"/>
        <item x="223"/>
        <item x="224"/>
        <item x="48"/>
        <item x="212"/>
        <item x="272"/>
        <item x="313"/>
        <item x="263"/>
        <item x="295"/>
        <item x="298"/>
        <item x="306"/>
        <item x="297"/>
        <item x="305"/>
        <item x="304"/>
        <item x="294"/>
        <item x="293"/>
        <item x="291"/>
        <item x="65"/>
        <item x="262"/>
        <item x="261"/>
        <item x="300"/>
        <item x="112"/>
        <item x="217"/>
        <item x="42"/>
        <item x="105"/>
        <item x="116"/>
        <item x="117"/>
        <item x="139"/>
        <item x="83"/>
        <item x="43"/>
        <item x="138"/>
        <item x="325"/>
        <item x="320"/>
        <item x="324"/>
        <item x="85"/>
        <item x="84"/>
        <item x="82"/>
        <item x="80"/>
        <item x="121"/>
        <item x="199"/>
        <item x="250"/>
        <item x="41"/>
        <item x="321"/>
        <item x="52"/>
        <item x="78"/>
        <item x="79"/>
        <item x="137"/>
        <item x="317"/>
        <item x="173"/>
        <item x="32"/>
        <item x="214"/>
        <item x="205"/>
        <item x="206"/>
        <item x="220"/>
        <item x="39"/>
        <item x="208"/>
        <item x="204"/>
        <item x="215"/>
        <item x="248"/>
        <item x="241"/>
        <item x="316"/>
        <item x="118"/>
        <item x="201"/>
        <item x="247"/>
        <item x="240"/>
        <item x="249"/>
        <item x="242"/>
        <item x="167"/>
        <item x="292"/>
        <item x="232"/>
        <item x="257"/>
        <item x="255"/>
        <item x="246"/>
        <item x="285"/>
        <item x="164"/>
        <item x="126"/>
        <item x="276"/>
        <item x="165"/>
        <item x="133"/>
        <item x="60"/>
        <item x="63"/>
        <item x="64"/>
        <item x="77"/>
        <item x="76"/>
        <item x="74"/>
        <item x="281"/>
        <item x="171"/>
        <item x="154"/>
        <item x="156"/>
        <item x="312"/>
        <item x="9"/>
        <item x="157"/>
        <item x="152"/>
        <item x="163"/>
        <item x="314"/>
        <item x="13"/>
        <item x="14"/>
        <item x="115"/>
        <item x="326"/>
        <item x="18"/>
        <item x="239"/>
        <item x="318"/>
        <item x="323"/>
        <item x="319"/>
        <item x="218"/>
        <item x="134"/>
        <item x="15"/>
        <item x="16"/>
        <item x="106"/>
        <item x="35"/>
        <item x="100"/>
        <item x="81"/>
        <item x="104"/>
        <item x="107"/>
        <item x="56"/>
        <item x="190"/>
        <item x="182"/>
        <item x="187"/>
        <item x="211"/>
        <item x="284"/>
        <item x="283"/>
        <item x="330"/>
        <item x="331"/>
        <item x="225"/>
        <item x="268"/>
        <item x="265"/>
        <item x="210"/>
        <item x="66"/>
        <item x="174"/>
        <item x="175"/>
        <item x="37"/>
        <item x="47"/>
        <item x="36"/>
        <item x="26"/>
        <item x="162"/>
        <item x="71"/>
        <item x="72"/>
        <item x="59"/>
        <item x="89"/>
        <item x="328"/>
        <item x="30"/>
        <item x="315"/>
        <item x="20"/>
        <item x="19"/>
        <item x="235"/>
        <item x="200"/>
        <item x="45"/>
        <item x="153"/>
        <item x="226"/>
        <item x="178"/>
        <item x="179"/>
        <item x="237"/>
        <item x="229"/>
        <item x="202"/>
        <item x="213"/>
        <item x="86"/>
        <item x="181"/>
        <item x="231"/>
        <item x="230"/>
        <item x="234"/>
        <item x="311"/>
        <item x="21"/>
        <item x="113"/>
        <item x="188"/>
        <item x="183"/>
        <item x="33"/>
        <item x="278"/>
        <item x="129"/>
        <item x="128"/>
        <item x="131"/>
        <item x="132"/>
        <item x="130"/>
        <item x="280"/>
        <item x="87"/>
        <item x="90"/>
        <item x="145"/>
        <item x="144"/>
        <item x="332"/>
        <item x="271"/>
        <item x="260"/>
        <item x="259"/>
        <item x="140"/>
        <item x="198"/>
        <item x="40"/>
        <item x="197"/>
        <item x="2"/>
        <item x="125"/>
        <item x="44"/>
        <item x="27"/>
        <item x="143"/>
        <item x="142"/>
        <item x="194"/>
        <item x="193"/>
        <item x="195"/>
        <item x="196"/>
        <item x="149"/>
        <item x="148"/>
        <item x="147"/>
        <item x="146"/>
        <item x="110"/>
        <item x="309"/>
        <item x="158"/>
        <item x="159"/>
        <item x="270"/>
        <item x="269"/>
        <item x="160"/>
        <item x="207"/>
        <item x="161"/>
        <item x="120"/>
        <item x="266"/>
        <item x="267"/>
        <item x="31"/>
        <item x="54"/>
        <item x="49"/>
        <item x="58"/>
        <item x="55"/>
        <item x="53"/>
        <item x="192"/>
        <item x="114"/>
        <item x="185"/>
        <item x="119"/>
        <item x="57"/>
        <item x="96"/>
        <item x="6"/>
        <item x="227"/>
        <item x="228"/>
        <item x="307"/>
        <item x="176"/>
        <item x="177"/>
        <item x="289"/>
        <item x="22"/>
        <item x="34"/>
        <item x="67"/>
        <item x="273"/>
        <item x="73"/>
        <item x="75"/>
        <item x="275"/>
        <item x="122"/>
        <item n="The CUSTOMER gets the right to use the license under the following condition: _x000a_a. The run-time software is used for developing demonstrator systems or proof of concepts of one CUSTOMER PRODUCT before the final nomination to a Vehicle OEM Brand mass produ" x="11"/>
        <item n="The CUSTOMER gets the right to use the license under the following condition: _x000a_a. The run-time software is used for one Vehicle OEM Brand only. _x000a_b. The run-time software is used for one CUSTOMER PRODUCT only. _x000a_c. The run-time software is used for one µC " x="279"/>
        <item n="The CUSTOMER gets the right to use the license under the following condition: _x000a_a. The run-time software is used for one Vehicle OEM Brand only. _x000a_b. The run-time software is used for one Model generation only. _x000a_c. The run-time software is used for one CUS" x="62"/>
        <item x="8"/>
        <item x="329"/>
        <item x="191"/>
        <item x="108"/>
        <item n="The CUSTOMER gets the right to use the license under the following condition:_x000a_a. The run-time software is used for one Vehicle OEM Brand only._x000a_b. The run-time software is used for one CUSTOMER PRODUCT only._x000a_c. The run-time software is used for one µC der" x="135"/>
        <item x="123"/>
        <item x="180"/>
        <item x="150"/>
        <item x="233"/>
        <item x="238"/>
        <item x="236"/>
        <item x="46"/>
        <item x="333"/>
        <item x="274"/>
        <item x="327"/>
        <item x="310"/>
        <item x="94"/>
        <item x="17"/>
        <item x="23"/>
        <item x="50"/>
        <item x="51"/>
        <item x="286"/>
        <item x="24"/>
        <item x="7"/>
        <item x="25"/>
        <item x="98"/>
        <item x="92"/>
        <item x="91"/>
        <item x="99"/>
        <item x="93"/>
        <item x="68"/>
        <item x="69"/>
        <item x="124"/>
        <item x="111"/>
        <item x="1"/>
        <item x="103"/>
        <item x="141"/>
        <item x="3"/>
        <item x="88"/>
        <item x="97"/>
        <item x="203"/>
        <item x="95"/>
        <item x="186"/>
        <item x="168"/>
        <item x="170"/>
        <item x="169"/>
        <item x="189"/>
        <item x="184"/>
        <item x="4"/>
        <item x="166"/>
        <item x="308"/>
        <item x="5"/>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s>
  <rowFields count="2">
    <field x="2"/>
    <field x="3"/>
  </rowFields>
  <rowItems count="185">
    <i>
      <x v="9"/>
    </i>
    <i r="1">
      <x v="160"/>
    </i>
    <i>
      <x v="10"/>
    </i>
    <i r="1">
      <x v="161"/>
    </i>
    <i>
      <x v="11"/>
    </i>
    <i r="1">
      <x v="284"/>
    </i>
    <i>
      <x v="35"/>
    </i>
    <i r="1">
      <x v="285"/>
    </i>
    <i>
      <x v="36"/>
    </i>
    <i r="1">
      <x v="283"/>
    </i>
    <i>
      <x v="44"/>
    </i>
    <i r="1">
      <x v="279"/>
    </i>
    <i>
      <x v="51"/>
    </i>
    <i r="1">
      <x v="54"/>
    </i>
    <i>
      <x v="52"/>
    </i>
    <i r="1">
      <x v="53"/>
    </i>
    <i>
      <x v="58"/>
    </i>
    <i r="1">
      <x v="52"/>
    </i>
    <i>
      <x v="59"/>
    </i>
    <i r="1">
      <x v="267"/>
    </i>
    <i>
      <x v="62"/>
    </i>
    <i r="1">
      <x v="1"/>
    </i>
    <i>
      <x v="63"/>
    </i>
    <i r="1">
      <x/>
    </i>
    <i>
      <x v="75"/>
    </i>
    <i r="1">
      <x v="29"/>
    </i>
    <i>
      <x v="76"/>
    </i>
    <i r="1">
      <x v="30"/>
    </i>
    <i>
      <x v="77"/>
    </i>
    <i r="1">
      <x v="31"/>
    </i>
    <i>
      <x v="78"/>
    </i>
    <i r="1">
      <x v="26"/>
    </i>
    <i>
      <x v="80"/>
    </i>
    <i r="1">
      <x v="34"/>
    </i>
    <i>
      <x v="81"/>
    </i>
    <i r="1">
      <x v="27"/>
    </i>
    <i>
      <x v="83"/>
    </i>
    <i r="1">
      <x v="28"/>
    </i>
    <i>
      <x v="84"/>
    </i>
    <i r="1">
      <x v="35"/>
    </i>
    <i>
      <x v="93"/>
    </i>
    <i r="1">
      <x v="11"/>
    </i>
    <i>
      <x v="95"/>
    </i>
    <i r="1">
      <x v="10"/>
    </i>
    <i>
      <x v="108"/>
    </i>
    <i r="1">
      <x v="32"/>
    </i>
    <i>
      <x v="113"/>
    </i>
    <i r="1">
      <x v="23"/>
    </i>
    <i>
      <x v="151"/>
    </i>
    <i r="1">
      <x v="286"/>
    </i>
    <i>
      <x v="156"/>
    </i>
    <i r="1">
      <x v="197"/>
    </i>
    <i>
      <x v="171"/>
    </i>
    <i r="1">
      <x v="40"/>
    </i>
    <i>
      <x v="172"/>
    </i>
    <i r="1">
      <x v="39"/>
    </i>
    <i>
      <x v="175"/>
    </i>
    <i r="1">
      <x v="40"/>
    </i>
    <i>
      <x v="190"/>
    </i>
    <i r="1">
      <x v="24"/>
    </i>
    <i>
      <x v="192"/>
    </i>
    <i r="1">
      <x v="36"/>
    </i>
    <i>
      <x v="195"/>
    </i>
    <i r="1">
      <x v="33"/>
    </i>
    <i>
      <x v="202"/>
    </i>
    <i r="1">
      <x v="5"/>
    </i>
    <i>
      <x v="206"/>
    </i>
    <i r="1">
      <x v="111"/>
    </i>
    <i>
      <x v="209"/>
    </i>
    <i r="1">
      <x v="41"/>
    </i>
    <i>
      <x v="219"/>
    </i>
    <i r="1">
      <x v="17"/>
    </i>
    <i>
      <x v="221"/>
    </i>
    <i r="1">
      <x v="16"/>
    </i>
    <i>
      <x v="222"/>
    </i>
    <i r="1">
      <x v="19"/>
    </i>
    <i>
      <x v="223"/>
    </i>
    <i r="1">
      <x v="20"/>
    </i>
    <i>
      <x v="224"/>
    </i>
    <i r="1">
      <x v="124"/>
    </i>
    <i>
      <x v="225"/>
    </i>
    <i r="1">
      <x v="125"/>
    </i>
    <i>
      <x v="228"/>
    </i>
    <i r="1">
      <x v="197"/>
    </i>
    <i>
      <x v="232"/>
    </i>
    <i r="1">
      <x v="123"/>
    </i>
    <i>
      <x v="236"/>
    </i>
    <i r="1">
      <x v="123"/>
    </i>
    <i>
      <x v="238"/>
    </i>
    <i r="1">
      <x v="270"/>
    </i>
    <i>
      <x v="253"/>
    </i>
    <i r="1">
      <x v="333"/>
    </i>
    <i>
      <x v="261"/>
    </i>
    <i r="1">
      <x v="12"/>
    </i>
    <i>
      <x v="274"/>
    </i>
    <i r="1">
      <x v="51"/>
    </i>
    <i>
      <x v="275"/>
    </i>
    <i r="1">
      <x v="50"/>
    </i>
    <i>
      <x v="276"/>
    </i>
    <i r="1">
      <x v="49"/>
    </i>
    <i>
      <x v="277"/>
    </i>
    <i r="1">
      <x v="55"/>
    </i>
    <i>
      <x v="289"/>
    </i>
    <i r="1">
      <x v="61"/>
    </i>
    <i>
      <x v="347"/>
    </i>
    <i r="1">
      <x v="197"/>
    </i>
    <i>
      <x v="348"/>
    </i>
    <i r="1">
      <x v="25"/>
    </i>
    <i>
      <x v="349"/>
    </i>
    <i r="1">
      <x v="37"/>
    </i>
    <i>
      <x v="350"/>
    </i>
    <i r="1">
      <x v="6"/>
    </i>
    <i>
      <x v="351"/>
    </i>
    <i r="1">
      <x v="112"/>
    </i>
    <i>
      <x v="354"/>
    </i>
    <i r="1">
      <x v="285"/>
    </i>
    <i>
      <x v="355"/>
    </i>
    <i r="1">
      <x v="280"/>
    </i>
    <i>
      <x v="357"/>
    </i>
    <i r="1">
      <x v="333"/>
    </i>
    <i>
      <x v="359"/>
    </i>
    <i r="1">
      <x v="333"/>
    </i>
    <i>
      <x v="362"/>
    </i>
    <i r="1">
      <x v="118"/>
    </i>
    <i>
      <x v="364"/>
    </i>
    <i r="1">
      <x v="119"/>
    </i>
    <i>
      <x v="370"/>
    </i>
    <i r="1">
      <x v="240"/>
    </i>
    <i>
      <x v="375"/>
    </i>
    <i r="1">
      <x v="242"/>
    </i>
    <i>
      <x v="379"/>
    </i>
    <i r="1">
      <x v="282"/>
    </i>
    <i>
      <x v="384"/>
    </i>
    <i r="1">
      <x v="57"/>
    </i>
    <i>
      <x v="385"/>
    </i>
    <i r="1">
      <x v="56"/>
    </i>
    <i>
      <x v="395"/>
    </i>
    <i r="1">
      <x v="281"/>
    </i>
    <i>
      <x v="406"/>
    </i>
    <i r="1">
      <x v="333"/>
    </i>
    <i>
      <x v="407"/>
    </i>
    <i r="1">
      <x v="333"/>
    </i>
    <i>
      <x v="435"/>
    </i>
    <i r="1">
      <x v="175"/>
    </i>
    <i>
      <x v="474"/>
    </i>
    <i r="1">
      <x v="115"/>
    </i>
    <i>
      <x v="475"/>
    </i>
    <i r="1">
      <x v="116"/>
    </i>
    <i>
      <x v="476"/>
    </i>
    <i r="1">
      <x v="117"/>
    </i>
    <i>
      <x v="478"/>
    </i>
    <i r="1">
      <x v="114"/>
    </i>
    <i>
      <x v="479"/>
    </i>
    <i r="1">
      <x v="116"/>
    </i>
    <i>
      <x v="484"/>
    </i>
    <i r="1">
      <x v="38"/>
    </i>
    <i>
      <x v="497"/>
    </i>
    <i r="1">
      <x v="333"/>
    </i>
    <i>
      <x v="500"/>
    </i>
    <i r="1">
      <x v="333"/>
    </i>
    <i>
      <x v="502"/>
    </i>
    <i r="1">
      <x v="21"/>
    </i>
    <i>
      <x v="505"/>
    </i>
    <i r="1">
      <x v="21"/>
    </i>
    <i>
      <x v="507"/>
    </i>
    <i r="1">
      <x v="22"/>
    </i>
    <i>
      <x v="508"/>
    </i>
    <i r="1">
      <x v="333"/>
    </i>
    <i>
      <x v="509"/>
    </i>
    <i r="1">
      <x v="333"/>
    </i>
    <i>
      <x v="510"/>
    </i>
    <i r="1">
      <x v="333"/>
    </i>
    <i>
      <x v="511"/>
    </i>
    <i r="1">
      <x v="333"/>
    </i>
    <i>
      <x v="512"/>
    </i>
    <i r="1">
      <x v="333"/>
    </i>
    <i>
      <x v="514"/>
    </i>
    <i r="1">
      <x v="278"/>
    </i>
    <i>
      <x v="518"/>
    </i>
    <i r="1">
      <x v="126"/>
    </i>
    <i>
      <x v="519"/>
    </i>
    <i r="1">
      <x v="333"/>
    </i>
    <i>
      <x v="520"/>
    </i>
    <i r="1">
      <x v="48"/>
    </i>
    <i t="grand">
      <x/>
    </i>
  </rowItems>
  <colItems count="1">
    <i/>
  </colItems>
  <pageFields count="1">
    <pageField fld="0" item="0" hier="-1"/>
  </pageFields>
  <formats count="100">
    <format dxfId="0">
      <pivotArea type="all" dataOnly="0" outline="0" fieldPosition="0"/>
    </format>
    <format dxfId="1">
      <pivotArea field="2" type="button" dataOnly="0" labelOnly="1" outline="0" axis="axisRow" fieldPosition="0"/>
    </format>
    <format dxfId="2">
      <pivotArea field="3" type="button" dataOnly="0" labelOnly="1" outline="0" axis="axisRow" fieldPosition="1"/>
    </format>
    <format dxfId="3">
      <pivotArea dataOnly="0" labelOnly="1" outline="0" fieldPosition="0">
        <references count="1">
          <reference field="2" count="25">
            <x v="9"/>
            <x v="10"/>
            <x v="11"/>
            <x v="35"/>
            <x v="36"/>
            <x v="44"/>
            <x v="51"/>
            <x v="52"/>
            <x v="58"/>
            <x v="59"/>
            <x v="62"/>
            <x v="63"/>
            <x v="75"/>
            <x v="76"/>
            <x v="77"/>
            <x v="78"/>
            <x v="80"/>
            <x v="81"/>
            <x v="83"/>
            <x v="84"/>
            <x v="93"/>
            <x v="95"/>
            <x v="108"/>
            <x v="113"/>
            <x v="151"/>
          </reference>
        </references>
      </pivotArea>
    </format>
    <format dxfId="4">
      <pivotArea dataOnly="0" labelOnly="1" outline="0" fieldPosition="0">
        <references count="1">
          <reference field="2" count="25">
            <x v="156"/>
            <x v="171"/>
            <x v="172"/>
            <x v="175"/>
            <x v="190"/>
            <x v="192"/>
            <x v="195"/>
            <x v="202"/>
            <x v="206"/>
            <x v="209"/>
            <x v="219"/>
            <x v="221"/>
            <x v="222"/>
            <x v="223"/>
            <x v="224"/>
            <x v="225"/>
            <x v="228"/>
            <x v="232"/>
            <x v="236"/>
            <x v="238"/>
            <x v="253"/>
            <x v="261"/>
            <x v="274"/>
            <x v="275"/>
            <x v="276"/>
          </reference>
        </references>
      </pivotArea>
    </format>
    <format dxfId="5">
      <pivotArea dataOnly="0" labelOnly="1" outline="0" fieldPosition="0">
        <references count="1">
          <reference field="2" count="25">
            <x v="277"/>
            <x v="289"/>
            <x v="347"/>
            <x v="348"/>
            <x v="349"/>
            <x v="350"/>
            <x v="351"/>
            <x v="354"/>
            <x v="355"/>
            <x v="357"/>
            <x v="359"/>
            <x v="362"/>
            <x v="364"/>
            <x v="370"/>
            <x v="375"/>
            <x v="379"/>
            <x v="384"/>
            <x v="385"/>
            <x v="395"/>
            <x v="406"/>
            <x v="407"/>
            <x v="435"/>
            <x v="474"/>
            <x v="475"/>
            <x v="476"/>
          </reference>
        </references>
      </pivotArea>
    </format>
    <format dxfId="6">
      <pivotArea dataOnly="0" labelOnly="1" outline="0" fieldPosition="0">
        <references count="1">
          <reference field="2" count="17">
            <x v="478"/>
            <x v="479"/>
            <x v="484"/>
            <x v="497"/>
            <x v="500"/>
            <x v="502"/>
            <x v="505"/>
            <x v="507"/>
            <x v="508"/>
            <x v="509"/>
            <x v="510"/>
            <x v="511"/>
            <x v="512"/>
            <x v="514"/>
            <x v="518"/>
            <x v="519"/>
            <x v="520"/>
          </reference>
        </references>
      </pivotArea>
    </format>
    <format dxfId="7">
      <pivotArea dataOnly="0" labelOnly="1" grandRow="1" outline="0" fieldPosition="0"/>
    </format>
    <format dxfId="8">
      <pivotArea dataOnly="0" labelOnly="1" outline="0" fieldPosition="0">
        <references count="2">
          <reference field="2" count="1" selected="0">
            <x v="9"/>
          </reference>
          <reference field="3" count="1">
            <x v="160"/>
          </reference>
        </references>
      </pivotArea>
    </format>
    <format dxfId="9">
      <pivotArea dataOnly="0" labelOnly="1" outline="0" fieldPosition="0">
        <references count="2">
          <reference field="2" count="1" selected="0">
            <x v="10"/>
          </reference>
          <reference field="3" count="1">
            <x v="161"/>
          </reference>
        </references>
      </pivotArea>
    </format>
    <format dxfId="10">
      <pivotArea dataOnly="0" labelOnly="1" outline="0" fieldPosition="0">
        <references count="2">
          <reference field="2" count="1" selected="0">
            <x v="11"/>
          </reference>
          <reference field="3" count="1">
            <x v="284"/>
          </reference>
        </references>
      </pivotArea>
    </format>
    <format dxfId="11">
      <pivotArea dataOnly="0" labelOnly="1" outline="0" fieldPosition="0">
        <references count="2">
          <reference field="2" count="1" selected="0">
            <x v="35"/>
          </reference>
          <reference field="3" count="1">
            <x v="285"/>
          </reference>
        </references>
      </pivotArea>
    </format>
    <format dxfId="12">
      <pivotArea dataOnly="0" labelOnly="1" outline="0" fieldPosition="0">
        <references count="2">
          <reference field="2" count="1" selected="0">
            <x v="36"/>
          </reference>
          <reference field="3" count="1">
            <x v="283"/>
          </reference>
        </references>
      </pivotArea>
    </format>
    <format dxfId="13">
      <pivotArea dataOnly="0" labelOnly="1" outline="0" fieldPosition="0">
        <references count="2">
          <reference field="2" count="1" selected="0">
            <x v="44"/>
          </reference>
          <reference field="3" count="1">
            <x v="279"/>
          </reference>
        </references>
      </pivotArea>
    </format>
    <format dxfId="14">
      <pivotArea dataOnly="0" labelOnly="1" outline="0" fieldPosition="0">
        <references count="2">
          <reference field="2" count="1" selected="0">
            <x v="51"/>
          </reference>
          <reference field="3" count="1">
            <x v="54"/>
          </reference>
        </references>
      </pivotArea>
    </format>
    <format dxfId="15">
      <pivotArea dataOnly="0" labelOnly="1" outline="0" fieldPosition="0">
        <references count="2">
          <reference field="2" count="1" selected="0">
            <x v="52"/>
          </reference>
          <reference field="3" count="1">
            <x v="53"/>
          </reference>
        </references>
      </pivotArea>
    </format>
    <format dxfId="16">
      <pivotArea dataOnly="0" labelOnly="1" outline="0" fieldPosition="0">
        <references count="2">
          <reference field="2" count="1" selected="0">
            <x v="58"/>
          </reference>
          <reference field="3" count="1">
            <x v="52"/>
          </reference>
        </references>
      </pivotArea>
    </format>
    <format dxfId="17">
      <pivotArea dataOnly="0" labelOnly="1" outline="0" fieldPosition="0">
        <references count="2">
          <reference field="2" count="1" selected="0">
            <x v="59"/>
          </reference>
          <reference field="3" count="1">
            <x v="267"/>
          </reference>
        </references>
      </pivotArea>
    </format>
    <format dxfId="18">
      <pivotArea dataOnly="0" labelOnly="1" outline="0" fieldPosition="0">
        <references count="2">
          <reference field="2" count="1" selected="0">
            <x v="62"/>
          </reference>
          <reference field="3" count="1">
            <x v="1"/>
          </reference>
        </references>
      </pivotArea>
    </format>
    <format dxfId="19">
      <pivotArea dataOnly="0" labelOnly="1" outline="0" fieldPosition="0">
        <references count="2">
          <reference field="2" count="1" selected="0">
            <x v="63"/>
          </reference>
          <reference field="3" count="1">
            <x v="0"/>
          </reference>
        </references>
      </pivotArea>
    </format>
    <format dxfId="20">
      <pivotArea dataOnly="0" labelOnly="1" outline="0" fieldPosition="0">
        <references count="2">
          <reference field="2" count="1" selected="0">
            <x v="75"/>
          </reference>
          <reference field="3" count="1">
            <x v="29"/>
          </reference>
        </references>
      </pivotArea>
    </format>
    <format dxfId="21">
      <pivotArea dataOnly="0" labelOnly="1" outline="0" fieldPosition="0">
        <references count="2">
          <reference field="2" count="1" selected="0">
            <x v="76"/>
          </reference>
          <reference field="3" count="1">
            <x v="30"/>
          </reference>
        </references>
      </pivotArea>
    </format>
    <format dxfId="22">
      <pivotArea dataOnly="0" labelOnly="1" outline="0" fieldPosition="0">
        <references count="2">
          <reference field="2" count="1" selected="0">
            <x v="77"/>
          </reference>
          <reference field="3" count="1">
            <x v="31"/>
          </reference>
        </references>
      </pivotArea>
    </format>
    <format dxfId="23">
      <pivotArea dataOnly="0" labelOnly="1" outline="0" fieldPosition="0">
        <references count="2">
          <reference field="2" count="1" selected="0">
            <x v="78"/>
          </reference>
          <reference field="3" count="1">
            <x v="26"/>
          </reference>
        </references>
      </pivotArea>
    </format>
    <format dxfId="24">
      <pivotArea dataOnly="0" labelOnly="1" outline="0" fieldPosition="0">
        <references count="2">
          <reference field="2" count="1" selected="0">
            <x v="80"/>
          </reference>
          <reference field="3" count="1">
            <x v="34"/>
          </reference>
        </references>
      </pivotArea>
    </format>
    <format dxfId="25">
      <pivotArea dataOnly="0" labelOnly="1" outline="0" fieldPosition="0">
        <references count="2">
          <reference field="2" count="1" selected="0">
            <x v="81"/>
          </reference>
          <reference field="3" count="1">
            <x v="27"/>
          </reference>
        </references>
      </pivotArea>
    </format>
    <format dxfId="26">
      <pivotArea dataOnly="0" labelOnly="1" outline="0" fieldPosition="0">
        <references count="2">
          <reference field="2" count="1" selected="0">
            <x v="83"/>
          </reference>
          <reference field="3" count="1">
            <x v="28"/>
          </reference>
        </references>
      </pivotArea>
    </format>
    <format dxfId="27">
      <pivotArea dataOnly="0" labelOnly="1" outline="0" fieldPosition="0">
        <references count="2">
          <reference field="2" count="1" selected="0">
            <x v="84"/>
          </reference>
          <reference field="3" count="1">
            <x v="35"/>
          </reference>
        </references>
      </pivotArea>
    </format>
    <format dxfId="28">
      <pivotArea dataOnly="0" labelOnly="1" outline="0" fieldPosition="0">
        <references count="2">
          <reference field="2" count="1" selected="0">
            <x v="93"/>
          </reference>
          <reference field="3" count="1">
            <x v="11"/>
          </reference>
        </references>
      </pivotArea>
    </format>
    <format dxfId="29">
      <pivotArea dataOnly="0" labelOnly="1" outline="0" fieldPosition="0">
        <references count="2">
          <reference field="2" count="1" selected="0">
            <x v="95"/>
          </reference>
          <reference field="3" count="1">
            <x v="10"/>
          </reference>
        </references>
      </pivotArea>
    </format>
    <format dxfId="30">
      <pivotArea dataOnly="0" labelOnly="1" outline="0" fieldPosition="0">
        <references count="2">
          <reference field="2" count="1" selected="0">
            <x v="108"/>
          </reference>
          <reference field="3" count="1">
            <x v="32"/>
          </reference>
        </references>
      </pivotArea>
    </format>
    <format dxfId="31">
      <pivotArea dataOnly="0" labelOnly="1" outline="0" fieldPosition="0">
        <references count="2">
          <reference field="2" count="1" selected="0">
            <x v="113"/>
          </reference>
          <reference field="3" count="1">
            <x v="23"/>
          </reference>
        </references>
      </pivotArea>
    </format>
    <format dxfId="32">
      <pivotArea dataOnly="0" labelOnly="1" outline="0" fieldPosition="0">
        <references count="2">
          <reference field="2" count="1" selected="0">
            <x v="151"/>
          </reference>
          <reference field="3" count="1">
            <x v="286"/>
          </reference>
        </references>
      </pivotArea>
    </format>
    <format dxfId="33">
      <pivotArea dataOnly="0" labelOnly="1" outline="0" fieldPosition="0">
        <references count="2">
          <reference field="2" count="1" selected="0">
            <x v="156"/>
          </reference>
          <reference field="3" count="1">
            <x v="197"/>
          </reference>
        </references>
      </pivotArea>
    </format>
    <format dxfId="34">
      <pivotArea dataOnly="0" labelOnly="1" outline="0" fieldPosition="0">
        <references count="2">
          <reference field="2" count="1" selected="0">
            <x v="171"/>
          </reference>
          <reference field="3" count="1">
            <x v="40"/>
          </reference>
        </references>
      </pivotArea>
    </format>
    <format dxfId="35">
      <pivotArea dataOnly="0" labelOnly="1" outline="0" fieldPosition="0">
        <references count="2">
          <reference field="2" count="1" selected="0">
            <x v="172"/>
          </reference>
          <reference field="3" count="1">
            <x v="39"/>
          </reference>
        </references>
      </pivotArea>
    </format>
    <format dxfId="36">
      <pivotArea dataOnly="0" labelOnly="1" outline="0" fieldPosition="0">
        <references count="2">
          <reference field="2" count="1" selected="0">
            <x v="175"/>
          </reference>
          <reference field="3" count="1">
            <x v="40"/>
          </reference>
        </references>
      </pivotArea>
    </format>
    <format dxfId="37">
      <pivotArea dataOnly="0" labelOnly="1" outline="0" fieldPosition="0">
        <references count="2">
          <reference field="2" count="1" selected="0">
            <x v="190"/>
          </reference>
          <reference field="3" count="1">
            <x v="24"/>
          </reference>
        </references>
      </pivotArea>
    </format>
    <format dxfId="38">
      <pivotArea dataOnly="0" labelOnly="1" outline="0" fieldPosition="0">
        <references count="2">
          <reference field="2" count="1" selected="0">
            <x v="192"/>
          </reference>
          <reference field="3" count="1">
            <x v="36"/>
          </reference>
        </references>
      </pivotArea>
    </format>
    <format dxfId="39">
      <pivotArea dataOnly="0" labelOnly="1" outline="0" fieldPosition="0">
        <references count="2">
          <reference field="2" count="1" selected="0">
            <x v="195"/>
          </reference>
          <reference field="3" count="1">
            <x v="33"/>
          </reference>
        </references>
      </pivotArea>
    </format>
    <format dxfId="40">
      <pivotArea dataOnly="0" labelOnly="1" outline="0" fieldPosition="0">
        <references count="2">
          <reference field="2" count="1" selected="0">
            <x v="202"/>
          </reference>
          <reference field="3" count="1">
            <x v="5"/>
          </reference>
        </references>
      </pivotArea>
    </format>
    <format dxfId="41">
      <pivotArea dataOnly="0" labelOnly="1" outline="0" fieldPosition="0">
        <references count="2">
          <reference field="2" count="1" selected="0">
            <x v="206"/>
          </reference>
          <reference field="3" count="1">
            <x v="111"/>
          </reference>
        </references>
      </pivotArea>
    </format>
    <format dxfId="42">
      <pivotArea dataOnly="0" labelOnly="1" outline="0" fieldPosition="0">
        <references count="2">
          <reference field="2" count="1" selected="0">
            <x v="209"/>
          </reference>
          <reference field="3" count="1">
            <x v="41"/>
          </reference>
        </references>
      </pivotArea>
    </format>
    <format dxfId="43">
      <pivotArea dataOnly="0" labelOnly="1" outline="0" fieldPosition="0">
        <references count="2">
          <reference field="2" count="1" selected="0">
            <x v="219"/>
          </reference>
          <reference field="3" count="1">
            <x v="17"/>
          </reference>
        </references>
      </pivotArea>
    </format>
    <format dxfId="44">
      <pivotArea dataOnly="0" labelOnly="1" outline="0" fieldPosition="0">
        <references count="2">
          <reference field="2" count="1" selected="0">
            <x v="221"/>
          </reference>
          <reference field="3" count="1">
            <x v="16"/>
          </reference>
        </references>
      </pivotArea>
    </format>
    <format dxfId="45">
      <pivotArea dataOnly="0" labelOnly="1" outline="0" fieldPosition="0">
        <references count="2">
          <reference field="2" count="1" selected="0">
            <x v="222"/>
          </reference>
          <reference field="3" count="1">
            <x v="19"/>
          </reference>
        </references>
      </pivotArea>
    </format>
    <format dxfId="46">
      <pivotArea dataOnly="0" labelOnly="1" outline="0" fieldPosition="0">
        <references count="2">
          <reference field="2" count="1" selected="0">
            <x v="223"/>
          </reference>
          <reference field="3" count="1">
            <x v="20"/>
          </reference>
        </references>
      </pivotArea>
    </format>
    <format dxfId="47">
      <pivotArea dataOnly="0" labelOnly="1" outline="0" fieldPosition="0">
        <references count="2">
          <reference field="2" count="1" selected="0">
            <x v="224"/>
          </reference>
          <reference field="3" count="1">
            <x v="124"/>
          </reference>
        </references>
      </pivotArea>
    </format>
    <format dxfId="48">
      <pivotArea dataOnly="0" labelOnly="1" outline="0" fieldPosition="0">
        <references count="2">
          <reference field="2" count="1" selected="0">
            <x v="225"/>
          </reference>
          <reference field="3" count="1">
            <x v="125"/>
          </reference>
        </references>
      </pivotArea>
    </format>
    <format dxfId="49">
      <pivotArea dataOnly="0" labelOnly="1" outline="0" fieldPosition="0">
        <references count="2">
          <reference field="2" count="1" selected="0">
            <x v="228"/>
          </reference>
          <reference field="3" count="1">
            <x v="197"/>
          </reference>
        </references>
      </pivotArea>
    </format>
    <format dxfId="50">
      <pivotArea dataOnly="0" labelOnly="1" outline="0" fieldPosition="0">
        <references count="2">
          <reference field="2" count="1" selected="0">
            <x v="232"/>
          </reference>
          <reference field="3" count="1">
            <x v="123"/>
          </reference>
        </references>
      </pivotArea>
    </format>
    <format dxfId="51">
      <pivotArea dataOnly="0" labelOnly="1" outline="0" fieldPosition="0">
        <references count="2">
          <reference field="2" count="1" selected="0">
            <x v="236"/>
          </reference>
          <reference field="3" count="1">
            <x v="123"/>
          </reference>
        </references>
      </pivotArea>
    </format>
    <format dxfId="52">
      <pivotArea dataOnly="0" labelOnly="1" outline="0" fieldPosition="0">
        <references count="2">
          <reference field="2" count="1" selected="0">
            <x v="238"/>
          </reference>
          <reference field="3" count="1">
            <x v="270"/>
          </reference>
        </references>
      </pivotArea>
    </format>
    <format dxfId="53">
      <pivotArea dataOnly="0" labelOnly="1" outline="0" fieldPosition="0">
        <references count="2">
          <reference field="2" count="1" selected="0">
            <x v="253"/>
          </reference>
          <reference field="3" count="1">
            <x v="333"/>
          </reference>
        </references>
      </pivotArea>
    </format>
    <format dxfId="54">
      <pivotArea dataOnly="0" labelOnly="1" outline="0" fieldPosition="0">
        <references count="2">
          <reference field="2" count="1" selected="0">
            <x v="261"/>
          </reference>
          <reference field="3" count="1">
            <x v="12"/>
          </reference>
        </references>
      </pivotArea>
    </format>
    <format dxfId="55">
      <pivotArea dataOnly="0" labelOnly="1" outline="0" fieldPosition="0">
        <references count="2">
          <reference field="2" count="1" selected="0">
            <x v="274"/>
          </reference>
          <reference field="3" count="1">
            <x v="51"/>
          </reference>
        </references>
      </pivotArea>
    </format>
    <format dxfId="56">
      <pivotArea dataOnly="0" labelOnly="1" outline="0" fieldPosition="0">
        <references count="2">
          <reference field="2" count="1" selected="0">
            <x v="275"/>
          </reference>
          <reference field="3" count="1">
            <x v="50"/>
          </reference>
        </references>
      </pivotArea>
    </format>
    <format dxfId="57">
      <pivotArea dataOnly="0" labelOnly="1" outline="0" fieldPosition="0">
        <references count="2">
          <reference field="2" count="1" selected="0">
            <x v="276"/>
          </reference>
          <reference field="3" count="1">
            <x v="49"/>
          </reference>
        </references>
      </pivotArea>
    </format>
    <format dxfId="58">
      <pivotArea dataOnly="0" labelOnly="1" outline="0" fieldPosition="0">
        <references count="2">
          <reference field="2" count="1" selected="0">
            <x v="277"/>
          </reference>
          <reference field="3" count="1">
            <x v="55"/>
          </reference>
        </references>
      </pivotArea>
    </format>
    <format dxfId="59">
      <pivotArea dataOnly="0" labelOnly="1" outline="0" fieldPosition="0">
        <references count="2">
          <reference field="2" count="1" selected="0">
            <x v="289"/>
          </reference>
          <reference field="3" count="1">
            <x v="61"/>
          </reference>
        </references>
      </pivotArea>
    </format>
    <format dxfId="60">
      <pivotArea dataOnly="0" labelOnly="1" outline="0" fieldPosition="0">
        <references count="2">
          <reference field="2" count="1" selected="0">
            <x v="347"/>
          </reference>
          <reference field="3" count="1">
            <x v="197"/>
          </reference>
        </references>
      </pivotArea>
    </format>
    <format dxfId="61">
      <pivotArea dataOnly="0" labelOnly="1" outline="0" fieldPosition="0">
        <references count="2">
          <reference field="2" count="1" selected="0">
            <x v="348"/>
          </reference>
          <reference field="3" count="1">
            <x v="25"/>
          </reference>
        </references>
      </pivotArea>
    </format>
    <format dxfId="62">
      <pivotArea dataOnly="0" labelOnly="1" outline="0" fieldPosition="0">
        <references count="2">
          <reference field="2" count="1" selected="0">
            <x v="349"/>
          </reference>
          <reference field="3" count="1">
            <x v="37"/>
          </reference>
        </references>
      </pivotArea>
    </format>
    <format dxfId="63">
      <pivotArea dataOnly="0" labelOnly="1" outline="0" fieldPosition="0">
        <references count="2">
          <reference field="2" count="1" selected="0">
            <x v="350"/>
          </reference>
          <reference field="3" count="1">
            <x v="6"/>
          </reference>
        </references>
      </pivotArea>
    </format>
    <format dxfId="64">
      <pivotArea dataOnly="0" labelOnly="1" outline="0" fieldPosition="0">
        <references count="2">
          <reference field="2" count="1" selected="0">
            <x v="351"/>
          </reference>
          <reference field="3" count="1">
            <x v="112"/>
          </reference>
        </references>
      </pivotArea>
    </format>
    <format dxfId="65">
      <pivotArea dataOnly="0" labelOnly="1" outline="0" fieldPosition="0">
        <references count="2">
          <reference field="2" count="1" selected="0">
            <x v="354"/>
          </reference>
          <reference field="3" count="1">
            <x v="285"/>
          </reference>
        </references>
      </pivotArea>
    </format>
    <format dxfId="66">
      <pivotArea dataOnly="0" labelOnly="1" outline="0" fieldPosition="0">
        <references count="2">
          <reference field="2" count="1" selected="0">
            <x v="355"/>
          </reference>
          <reference field="3" count="1">
            <x v="280"/>
          </reference>
        </references>
      </pivotArea>
    </format>
    <format dxfId="67">
      <pivotArea dataOnly="0" labelOnly="1" outline="0" fieldPosition="0">
        <references count="2">
          <reference field="2" count="1" selected="0">
            <x v="357"/>
          </reference>
          <reference field="3" count="1">
            <x v="333"/>
          </reference>
        </references>
      </pivotArea>
    </format>
    <format dxfId="68">
      <pivotArea dataOnly="0" labelOnly="1" outline="0" fieldPosition="0">
        <references count="2">
          <reference field="2" count="1" selected="0">
            <x v="359"/>
          </reference>
          <reference field="3" count="1">
            <x v="333"/>
          </reference>
        </references>
      </pivotArea>
    </format>
    <format dxfId="69">
      <pivotArea dataOnly="0" labelOnly="1" outline="0" fieldPosition="0">
        <references count="2">
          <reference field="2" count="1" selected="0">
            <x v="362"/>
          </reference>
          <reference field="3" count="1">
            <x v="118"/>
          </reference>
        </references>
      </pivotArea>
    </format>
    <format dxfId="70">
      <pivotArea dataOnly="0" labelOnly="1" outline="0" fieldPosition="0">
        <references count="2">
          <reference field="2" count="1" selected="0">
            <x v="364"/>
          </reference>
          <reference field="3" count="1">
            <x v="119"/>
          </reference>
        </references>
      </pivotArea>
    </format>
    <format dxfId="71">
      <pivotArea dataOnly="0" labelOnly="1" outline="0" fieldPosition="0">
        <references count="2">
          <reference field="2" count="1" selected="0">
            <x v="370"/>
          </reference>
          <reference field="3" count="1">
            <x v="240"/>
          </reference>
        </references>
      </pivotArea>
    </format>
    <format dxfId="72">
      <pivotArea dataOnly="0" labelOnly="1" outline="0" fieldPosition="0">
        <references count="2">
          <reference field="2" count="1" selected="0">
            <x v="375"/>
          </reference>
          <reference field="3" count="1">
            <x v="242"/>
          </reference>
        </references>
      </pivotArea>
    </format>
    <format dxfId="73">
      <pivotArea dataOnly="0" labelOnly="1" outline="0" fieldPosition="0">
        <references count="2">
          <reference field="2" count="1" selected="0">
            <x v="379"/>
          </reference>
          <reference field="3" count="1">
            <x v="282"/>
          </reference>
        </references>
      </pivotArea>
    </format>
    <format dxfId="74">
      <pivotArea dataOnly="0" labelOnly="1" outline="0" fieldPosition="0">
        <references count="2">
          <reference field="2" count="1" selected="0">
            <x v="384"/>
          </reference>
          <reference field="3" count="1">
            <x v="57"/>
          </reference>
        </references>
      </pivotArea>
    </format>
    <format dxfId="75">
      <pivotArea dataOnly="0" labelOnly="1" outline="0" fieldPosition="0">
        <references count="2">
          <reference field="2" count="1" selected="0">
            <x v="385"/>
          </reference>
          <reference field="3" count="1">
            <x v="56"/>
          </reference>
        </references>
      </pivotArea>
    </format>
    <format dxfId="76">
      <pivotArea dataOnly="0" labelOnly="1" outline="0" fieldPosition="0">
        <references count="2">
          <reference field="2" count="1" selected="0">
            <x v="395"/>
          </reference>
          <reference field="3" count="1">
            <x v="281"/>
          </reference>
        </references>
      </pivotArea>
    </format>
    <format dxfId="77">
      <pivotArea dataOnly="0" labelOnly="1" outline="0" fieldPosition="0">
        <references count="2">
          <reference field="2" count="1" selected="0">
            <x v="406"/>
          </reference>
          <reference field="3" count="1">
            <x v="333"/>
          </reference>
        </references>
      </pivotArea>
    </format>
    <format dxfId="78">
      <pivotArea dataOnly="0" labelOnly="1" outline="0" fieldPosition="0">
        <references count="2">
          <reference field="2" count="1" selected="0">
            <x v="407"/>
          </reference>
          <reference field="3" count="1">
            <x v="333"/>
          </reference>
        </references>
      </pivotArea>
    </format>
    <format dxfId="79">
      <pivotArea dataOnly="0" labelOnly="1" outline="0" fieldPosition="0">
        <references count="2">
          <reference field="2" count="1" selected="0">
            <x v="435"/>
          </reference>
          <reference field="3" count="1">
            <x v="175"/>
          </reference>
        </references>
      </pivotArea>
    </format>
    <format dxfId="80">
      <pivotArea dataOnly="0" labelOnly="1" outline="0" fieldPosition="0">
        <references count="2">
          <reference field="2" count="1" selected="0">
            <x v="474"/>
          </reference>
          <reference field="3" count="1">
            <x v="115"/>
          </reference>
        </references>
      </pivotArea>
    </format>
    <format dxfId="81">
      <pivotArea dataOnly="0" labelOnly="1" outline="0" fieldPosition="0">
        <references count="2">
          <reference field="2" count="1" selected="0">
            <x v="475"/>
          </reference>
          <reference field="3" count="1">
            <x v="116"/>
          </reference>
        </references>
      </pivotArea>
    </format>
    <format dxfId="82">
      <pivotArea dataOnly="0" labelOnly="1" outline="0" fieldPosition="0">
        <references count="2">
          <reference field="2" count="1" selected="0">
            <x v="476"/>
          </reference>
          <reference field="3" count="1">
            <x v="117"/>
          </reference>
        </references>
      </pivotArea>
    </format>
    <format dxfId="83">
      <pivotArea dataOnly="0" labelOnly="1" outline="0" fieldPosition="0">
        <references count="2">
          <reference field="2" count="1" selected="0">
            <x v="478"/>
          </reference>
          <reference field="3" count="1">
            <x v="114"/>
          </reference>
        </references>
      </pivotArea>
    </format>
    <format dxfId="84">
      <pivotArea dataOnly="0" labelOnly="1" outline="0" fieldPosition="0">
        <references count="2">
          <reference field="2" count="1" selected="0">
            <x v="479"/>
          </reference>
          <reference field="3" count="1">
            <x v="116"/>
          </reference>
        </references>
      </pivotArea>
    </format>
    <format dxfId="85">
      <pivotArea dataOnly="0" labelOnly="1" outline="0" fieldPosition="0">
        <references count="2">
          <reference field="2" count="1" selected="0">
            <x v="484"/>
          </reference>
          <reference field="3" count="1">
            <x v="38"/>
          </reference>
        </references>
      </pivotArea>
    </format>
    <format dxfId="86">
      <pivotArea dataOnly="0" labelOnly="1" outline="0" fieldPosition="0">
        <references count="2">
          <reference field="2" count="1" selected="0">
            <x v="497"/>
          </reference>
          <reference field="3" count="1">
            <x v="333"/>
          </reference>
        </references>
      </pivotArea>
    </format>
    <format dxfId="87">
      <pivotArea dataOnly="0" labelOnly="1" outline="0" fieldPosition="0">
        <references count="2">
          <reference field="2" count="1" selected="0">
            <x v="500"/>
          </reference>
          <reference field="3" count="1">
            <x v="333"/>
          </reference>
        </references>
      </pivotArea>
    </format>
    <format dxfId="88">
      <pivotArea dataOnly="0" labelOnly="1" outline="0" fieldPosition="0">
        <references count="2">
          <reference field="2" count="1" selected="0">
            <x v="502"/>
          </reference>
          <reference field="3" count="1">
            <x v="21"/>
          </reference>
        </references>
      </pivotArea>
    </format>
    <format dxfId="89">
      <pivotArea dataOnly="0" labelOnly="1" outline="0" fieldPosition="0">
        <references count="2">
          <reference field="2" count="1" selected="0">
            <x v="505"/>
          </reference>
          <reference field="3" count="1">
            <x v="21"/>
          </reference>
        </references>
      </pivotArea>
    </format>
    <format dxfId="90">
      <pivotArea dataOnly="0" labelOnly="1" outline="0" fieldPosition="0">
        <references count="2">
          <reference field="2" count="1" selected="0">
            <x v="507"/>
          </reference>
          <reference field="3" count="1">
            <x v="22"/>
          </reference>
        </references>
      </pivotArea>
    </format>
    <format dxfId="91">
      <pivotArea dataOnly="0" labelOnly="1" outline="0" fieldPosition="0">
        <references count="2">
          <reference field="2" count="1" selected="0">
            <x v="508"/>
          </reference>
          <reference field="3" count="1">
            <x v="333"/>
          </reference>
        </references>
      </pivotArea>
    </format>
    <format dxfId="92">
      <pivotArea dataOnly="0" labelOnly="1" outline="0" fieldPosition="0">
        <references count="2">
          <reference field="2" count="1" selected="0">
            <x v="509"/>
          </reference>
          <reference field="3" count="1">
            <x v="333"/>
          </reference>
        </references>
      </pivotArea>
    </format>
    <format dxfId="93">
      <pivotArea dataOnly="0" labelOnly="1" outline="0" fieldPosition="0">
        <references count="2">
          <reference field="2" count="1" selected="0">
            <x v="510"/>
          </reference>
          <reference field="3" count="1">
            <x v="333"/>
          </reference>
        </references>
      </pivotArea>
    </format>
    <format dxfId="94">
      <pivotArea dataOnly="0" labelOnly="1" outline="0" fieldPosition="0">
        <references count="2">
          <reference field="2" count="1" selected="0">
            <x v="511"/>
          </reference>
          <reference field="3" count="1">
            <x v="333"/>
          </reference>
        </references>
      </pivotArea>
    </format>
    <format dxfId="95">
      <pivotArea dataOnly="0" labelOnly="1" outline="0" fieldPosition="0">
        <references count="2">
          <reference field="2" count="1" selected="0">
            <x v="512"/>
          </reference>
          <reference field="3" count="1">
            <x v="333"/>
          </reference>
        </references>
      </pivotArea>
    </format>
    <format dxfId="96">
      <pivotArea dataOnly="0" labelOnly="1" outline="0" fieldPosition="0">
        <references count="2">
          <reference field="2" count="1" selected="0">
            <x v="514"/>
          </reference>
          <reference field="3" count="1">
            <x v="278"/>
          </reference>
        </references>
      </pivotArea>
    </format>
    <format dxfId="97">
      <pivotArea dataOnly="0" labelOnly="1" outline="0" fieldPosition="0">
        <references count="2">
          <reference field="2" count="1" selected="0">
            <x v="518"/>
          </reference>
          <reference field="3" count="1">
            <x v="126"/>
          </reference>
        </references>
      </pivotArea>
    </format>
    <format dxfId="98">
      <pivotArea dataOnly="0" labelOnly="1" outline="0" fieldPosition="0">
        <references count="2">
          <reference field="2" count="1" selected="0">
            <x v="519"/>
          </reference>
          <reference field="3" count="1">
            <x v="333"/>
          </reference>
        </references>
      </pivotArea>
    </format>
    <format dxfId="99">
      <pivotArea dataOnly="0" labelOnly="1" outline="0" fieldPosition="0">
        <references count="2">
          <reference field="2" count="1" selected="0">
            <x v="520"/>
          </reference>
          <reference field="3" count="1">
            <x v="48"/>
          </reference>
        </references>
      </pivotArea>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B10D-80C3-4EE4-A6B1-EE17B5A919EA}">
  <dimension ref="B2:D4"/>
  <sheetViews>
    <sheetView workbookViewId="0">
      <selection activeCell="B6" sqref="B6"/>
    </sheetView>
  </sheetViews>
  <sheetFormatPr defaultRowHeight="15"/>
  <cols>
    <col min="1" max="1" width="7.5703125" customWidth="1"/>
    <col min="2" max="2" width="31.85546875" customWidth="1"/>
    <col min="3" max="3" width="51.42578125" customWidth="1"/>
    <col min="4" max="4" width="44.28515625" customWidth="1"/>
  </cols>
  <sheetData>
    <row r="2" spans="2:4" ht="18.75">
      <c r="B2" s="13" t="s">
        <v>0</v>
      </c>
      <c r="C2" s="13"/>
      <c r="D2" s="13"/>
    </row>
    <row r="3" spans="2:4">
      <c r="B3" s="12" t="s">
        <v>1</v>
      </c>
      <c r="C3" s="12" t="s">
        <v>2</v>
      </c>
      <c r="D3" s="12" t="s">
        <v>3</v>
      </c>
    </row>
    <row r="4" spans="2:4" ht="30">
      <c r="B4" t="s">
        <v>4</v>
      </c>
      <c r="C4" s="8" t="s">
        <v>5</v>
      </c>
      <c r="D4" t="s">
        <v>6</v>
      </c>
    </row>
  </sheetData>
  <mergeCells count="1">
    <mergeCell ref="B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V563"/>
  <sheetViews>
    <sheetView tabSelected="1" topLeftCell="D1" zoomScale="70" zoomScaleNormal="70" workbookViewId="0">
      <selection activeCell="H5" sqref="H5"/>
    </sheetView>
  </sheetViews>
  <sheetFormatPr defaultColWidth="20.7109375" defaultRowHeight="15"/>
  <cols>
    <col min="1" max="1" width="30.28515625" style="1" customWidth="1"/>
    <col min="2" max="2" width="20.7109375" style="1"/>
    <col min="3" max="3" width="31.28515625" style="1" customWidth="1"/>
    <col min="4" max="4" width="82.28515625" style="1" customWidth="1"/>
    <col min="5" max="6" width="20.7109375" style="1"/>
    <col min="7" max="7" width="41.5703125" style="1" customWidth="1"/>
    <col min="8" max="10" width="20.7109375" style="1"/>
    <col min="11" max="11" width="12.85546875" style="1" customWidth="1"/>
    <col min="12" max="12" width="20.7109375" style="1"/>
    <col min="13" max="13" width="35.5703125" style="1" customWidth="1"/>
    <col min="14" max="21" width="20.7109375" style="1"/>
    <col min="22" max="22" width="27.5703125" style="1" customWidth="1"/>
    <col min="23" max="23" width="27" style="1" customWidth="1"/>
    <col min="24" max="24" width="20.7109375" style="1" customWidth="1"/>
    <col min="25" max="25" width="24.140625" style="1" customWidth="1"/>
    <col min="26" max="26" width="23.42578125" style="1" customWidth="1"/>
    <col min="27" max="27" width="27.7109375" style="1" customWidth="1"/>
    <col min="28" max="28" width="31.5703125" style="1" customWidth="1"/>
    <col min="29" max="31" width="20.7109375" style="1" customWidth="1"/>
    <col min="32" max="48" width="20.7109375" style="1"/>
    <col min="49" max="16384" width="20.7109375" style="2"/>
  </cols>
  <sheetData>
    <row r="2" spans="1:48" ht="23.25">
      <c r="D2" s="6" t="s">
        <v>7</v>
      </c>
    </row>
    <row r="3" spans="1:48">
      <c r="D3" s="5" t="s">
        <v>8</v>
      </c>
    </row>
    <row r="6" spans="1:48">
      <c r="G6" s="1" t="s">
        <v>9</v>
      </c>
    </row>
    <row r="7" spans="1:48" ht="15.75">
      <c r="A7" s="14" t="s">
        <v>10</v>
      </c>
      <c r="B7" s="15"/>
      <c r="C7" s="15"/>
      <c r="D7" s="15"/>
      <c r="E7" s="15"/>
      <c r="F7" s="15"/>
      <c r="G7" s="15"/>
      <c r="H7" s="15"/>
      <c r="I7" s="15"/>
      <c r="J7" s="15"/>
      <c r="K7" s="15"/>
      <c r="L7" s="16" t="s">
        <v>11</v>
      </c>
      <c r="M7" s="17"/>
      <c r="N7" s="17"/>
      <c r="O7" s="17"/>
      <c r="P7" s="17"/>
      <c r="Q7" s="17"/>
      <c r="R7" s="17"/>
      <c r="S7" s="17"/>
      <c r="T7" s="17"/>
      <c r="U7" s="17"/>
      <c r="V7" s="18" t="s">
        <v>12</v>
      </c>
      <c r="W7" s="18"/>
      <c r="X7" s="18"/>
      <c r="Y7" s="18"/>
      <c r="Z7" s="18"/>
      <c r="AA7" s="18"/>
      <c r="AB7" s="18"/>
      <c r="AC7" s="18"/>
      <c r="AD7" s="18"/>
      <c r="AE7" s="18"/>
    </row>
    <row r="8" spans="1:48" s="4" customFormat="1" ht="30">
      <c r="A8" s="3" t="s">
        <v>13</v>
      </c>
      <c r="B8" s="3" t="s">
        <v>14</v>
      </c>
      <c r="C8" s="3" t="s">
        <v>15</v>
      </c>
      <c r="D8" s="3" t="s">
        <v>16</v>
      </c>
      <c r="E8" s="3" t="s">
        <v>17</v>
      </c>
      <c r="F8" s="3" t="s">
        <v>18</v>
      </c>
      <c r="G8" s="3" t="s">
        <v>19</v>
      </c>
      <c r="H8" s="3" t="s">
        <v>20</v>
      </c>
      <c r="I8" s="3" t="s">
        <v>21</v>
      </c>
      <c r="J8" s="3" t="s">
        <v>22</v>
      </c>
      <c r="K8" s="3" t="s">
        <v>23</v>
      </c>
      <c r="L8" s="3" t="s">
        <v>24</v>
      </c>
      <c r="M8" s="3" t="s">
        <v>25</v>
      </c>
      <c r="N8" s="3" t="s">
        <v>26</v>
      </c>
      <c r="O8" s="3" t="s">
        <v>27</v>
      </c>
      <c r="P8" s="3" t="s">
        <v>28</v>
      </c>
      <c r="Q8" s="3" t="s">
        <v>29</v>
      </c>
      <c r="R8" s="3" t="s">
        <v>30</v>
      </c>
      <c r="S8" s="3" t="s">
        <v>31</v>
      </c>
      <c r="T8" s="3" t="s">
        <v>32</v>
      </c>
      <c r="U8" s="3" t="s">
        <v>33</v>
      </c>
      <c r="V8" s="3" t="s">
        <v>34</v>
      </c>
      <c r="W8" s="3" t="s">
        <v>35</v>
      </c>
      <c r="X8" s="3" t="s">
        <v>36</v>
      </c>
      <c r="Y8" s="3" t="s">
        <v>37</v>
      </c>
      <c r="Z8" s="3" t="s">
        <v>38</v>
      </c>
      <c r="AA8" s="3" t="s">
        <v>39</v>
      </c>
      <c r="AB8" s="3" t="s">
        <v>40</v>
      </c>
      <c r="AC8" s="3" t="s">
        <v>41</v>
      </c>
      <c r="AD8" s="3" t="s">
        <v>42</v>
      </c>
      <c r="AE8" s="3" t="s">
        <v>23</v>
      </c>
      <c r="AF8" s="3"/>
      <c r="AG8" s="3"/>
      <c r="AH8" s="3"/>
      <c r="AI8" s="3"/>
      <c r="AJ8" s="3"/>
      <c r="AK8" s="3"/>
      <c r="AL8" s="3"/>
      <c r="AM8" s="3"/>
      <c r="AN8" s="3"/>
      <c r="AO8" s="3"/>
      <c r="AP8" s="3"/>
      <c r="AQ8" s="3"/>
      <c r="AR8" s="3"/>
      <c r="AS8" s="3"/>
      <c r="AT8" s="3"/>
      <c r="AU8" s="3"/>
      <c r="AV8" s="3"/>
    </row>
    <row r="9" spans="1:48" ht="60">
      <c r="A9" s="1" t="s">
        <v>43</v>
      </c>
      <c r="B9" s="1" t="s">
        <v>44</v>
      </c>
      <c r="C9" t="s">
        <v>45</v>
      </c>
      <c r="D9" s="1" t="s">
        <v>46</v>
      </c>
      <c r="E9" s="1" t="str">
        <f>VLOOKUP(Z9,[1]LicenseDuration_ID!$A$2:$B$8,2,FALSE)</f>
        <v>perpetual</v>
      </c>
      <c r="F9" s="1" t="str">
        <f>VLOOKUP(AA9,[1]MaintenanceDuration_ID!$A$2:$B$5,2,FALSE)</f>
        <v>12 months</v>
      </c>
      <c r="G9" s="1" t="str">
        <f>VLOOKUP(V9,[1]ExpectedDeliveryTime_ID!$A$2:$B$12,2,FALSE)</f>
        <v>FINALIZED PURCHASE PROCESS + 2 weeks</v>
      </c>
      <c r="H9" s="1" t="str">
        <f>VLOOKUP(AC9,[1]PaymentModel_ID!$A$2:$B$7,2,FALSE)</f>
        <v>One-time payment</v>
      </c>
      <c r="I9" s="1" t="str">
        <f>VLOOKUP(W9,[1]ExpectedInvoiceDate_ID!$A$2:$B$12,2,FALSE)</f>
        <v>With FINAL DELIVERY</v>
      </c>
      <c r="J9" s="1" t="str">
        <f>VLOOKUP(X9,[1]GrantOfRights_ID!$A$2:$B$7,2,FALSE)</f>
        <v>Elektrobit Tooling Licence</v>
      </c>
      <c r="K9" s="1" t="str">
        <f>VLOOKUP(AE9,[1]Profile!$A$2:$B$8,2,FALSE)</f>
        <v>License</v>
      </c>
      <c r="M9" s="1" t="str">
        <f>VLOOKUP(Y9,[1]License_Method_ID!$A$2:$B$13,2,FALSE)</f>
        <v>FlexNet Publisher Dongle License File</v>
      </c>
      <c r="N9" s="1" t="s">
        <v>47</v>
      </c>
      <c r="O9" s="1">
        <v>10</v>
      </c>
      <c r="P9" s="1">
        <v>50</v>
      </c>
      <c r="Q9" s="1" t="str">
        <f>VLOOKUP(AB9,[1]Operational_Profit_Type_ID!$A$2:$B$3,2,FALSE)</f>
        <v>Fix rate</v>
      </c>
      <c r="R9" s="1" t="s">
        <v>48</v>
      </c>
      <c r="T9" s="1" t="str">
        <f>VLOOKUP(AD9,[1]UpdateRightID!$A$2:$B$4,2,FALSE)</f>
        <v>UpdateRightByConfiguration</v>
      </c>
      <c r="U9" s="1" t="s">
        <v>48</v>
      </c>
      <c r="V9" s="1">
        <v>2</v>
      </c>
      <c r="W9" s="1">
        <v>7</v>
      </c>
      <c r="X9" s="1">
        <v>2</v>
      </c>
      <c r="Y9" s="1">
        <v>3</v>
      </c>
      <c r="Z9" s="1">
        <v>6</v>
      </c>
      <c r="AA9" s="1">
        <v>3</v>
      </c>
      <c r="AB9" s="1">
        <v>1</v>
      </c>
      <c r="AC9" s="1">
        <v>2</v>
      </c>
      <c r="AD9" s="1">
        <v>1</v>
      </c>
      <c r="AE9" s="1">
        <v>1</v>
      </c>
    </row>
    <row r="10" spans="1:48" ht="60">
      <c r="A10" s="1" t="s">
        <v>43</v>
      </c>
      <c r="B10" s="1" t="s">
        <v>49</v>
      </c>
      <c r="C10" t="s">
        <v>50</v>
      </c>
      <c r="D10" s="1" t="s">
        <v>51</v>
      </c>
      <c r="E10" s="1" t="str">
        <f>VLOOKUP(Z10,[1]LicenseDuration_ID!$A$2:$B$8,2,FALSE)</f>
        <v>perpetual</v>
      </c>
      <c r="F10" s="1" t="str">
        <f>VLOOKUP(AA10,[1]MaintenanceDuration_ID!$A$2:$B$5,2,FALSE)</f>
        <v>12 months</v>
      </c>
      <c r="G10" s="1" t="str">
        <f>VLOOKUP(V10,[1]ExpectedDeliveryTime_ID!$A$2:$B$12,2,FALSE)</f>
        <v>FINALIZED PURCHASE PROCESS + 2 weeks</v>
      </c>
      <c r="H10" s="1" t="str">
        <f>VLOOKUP(AC10,[1]PaymentModel_ID!$A$2:$B$7,2,FALSE)</f>
        <v>One-time payment</v>
      </c>
      <c r="I10" s="1" t="str">
        <f>VLOOKUP(W10,[1]ExpectedInvoiceDate_ID!$A$2:$B$12,2,FALSE)</f>
        <v>With FINAL DELIVERY</v>
      </c>
      <c r="J10" s="1" t="str">
        <f>VLOOKUP(X10,[1]GrantOfRights_ID!$A$2:$B$7,2,FALSE)</f>
        <v>Elektrobit Tooling Licence</v>
      </c>
      <c r="K10" s="1" t="str">
        <f>VLOOKUP(AE10,[1]Profile!$A$2:$B$8,2,FALSE)</f>
        <v>License</v>
      </c>
      <c r="M10" s="1" t="str">
        <f>VLOOKUP(Y10,[1]License_Method_ID!$A$2:$B$13,2,FALSE)</f>
        <v>FlexNet Publisher Server Activation Code</v>
      </c>
      <c r="N10" s="1" t="s">
        <v>47</v>
      </c>
      <c r="O10" s="1">
        <v>10</v>
      </c>
      <c r="P10" s="1">
        <v>50</v>
      </c>
      <c r="Q10" s="1" t="str">
        <f>VLOOKUP(AB10,[1]Operational_Profit_Type_ID!$A$2:$B$3,2,FALSE)</f>
        <v>Fix rate</v>
      </c>
      <c r="R10" s="1" t="s">
        <v>48</v>
      </c>
      <c r="T10" s="1" t="str">
        <f>VLOOKUP(AD10,[1]UpdateRightID!$A$2:$B$4,2,FALSE)</f>
        <v>UpdateRightByConfiguration</v>
      </c>
      <c r="U10" s="1" t="s">
        <v>48</v>
      </c>
      <c r="V10" s="1">
        <v>2</v>
      </c>
      <c r="W10" s="1">
        <v>7</v>
      </c>
      <c r="X10" s="1">
        <v>2</v>
      </c>
      <c r="Y10" s="1">
        <v>2</v>
      </c>
      <c r="Z10" s="1">
        <v>6</v>
      </c>
      <c r="AA10" s="1">
        <v>3</v>
      </c>
      <c r="AB10" s="1">
        <v>1</v>
      </c>
      <c r="AC10" s="1">
        <v>2</v>
      </c>
      <c r="AD10" s="1">
        <v>1</v>
      </c>
      <c r="AE10" s="1">
        <v>1</v>
      </c>
    </row>
    <row r="11" spans="1:48" ht="75">
      <c r="A11" s="1" t="s">
        <v>43</v>
      </c>
      <c r="B11" s="1" t="s">
        <v>52</v>
      </c>
      <c r="C11" t="s">
        <v>53</v>
      </c>
      <c r="D11" s="1" t="s">
        <v>54</v>
      </c>
      <c r="E11" s="1" t="str">
        <f>VLOOKUP(Z11,[1]LicenseDuration_ID!$A$2:$B$8,2,FALSE)</f>
        <v>n/a</v>
      </c>
      <c r="F11" s="1" t="str">
        <f>VLOOKUP(AA11,[1]MaintenanceDuration_ID!$A$2:$B$5,2,FALSE)</f>
        <v>12 months</v>
      </c>
      <c r="G11" s="1" t="str">
        <f>VLOOKUP(V11,[1]ExpectedDeliveryTime_ID!$A$2:$B$12,2,FALSE)</f>
        <v>n/a</v>
      </c>
      <c r="H11" s="1" t="str">
        <f>VLOOKUP(AC11,[1]PaymentModel_ID!$A$2:$B$7,2,FALSE)</f>
        <v>Annual payment</v>
      </c>
      <c r="I11" s="1" t="str">
        <f>VLOOKUP(W11,[1]ExpectedInvoiceDate_ID!$A$2:$B$12,2,FALSE)</f>
        <v>Anually at the beginning of the extended period</v>
      </c>
      <c r="J11" s="1" t="str">
        <f>VLOOKUP(X11,[1]GrantOfRights_ID!$A$2:$B$7,2,FALSE)</f>
        <v>n/a</v>
      </c>
      <c r="K11" s="1" t="str">
        <f>VLOOKUP(AE11,[1]Profile!$A$2:$B$8,2,FALSE)</f>
        <v>License</v>
      </c>
      <c r="M11" s="1" t="str">
        <f>VLOOKUP(Y11,[1]License_Method_ID!$A$2:$B$13,2,FALSE)</f>
        <v>FlexNet Publisher Dongle License File</v>
      </c>
      <c r="N11" s="1" t="s">
        <v>47</v>
      </c>
      <c r="O11" s="1">
        <v>10</v>
      </c>
      <c r="P11" s="1">
        <v>50</v>
      </c>
      <c r="Q11" s="1" t="str">
        <f>VLOOKUP(AB11,[1]Operational_Profit_Type_ID!$A$2:$B$3,2,FALSE)</f>
        <v>Fix rate</v>
      </c>
      <c r="R11" s="1" t="s">
        <v>55</v>
      </c>
      <c r="T11" s="1" t="str">
        <f>VLOOKUP(AD11,[1]UpdateRightID!$A$2:$B$4,2,FALSE)</f>
        <v>TotalAmountAsUpdateRight</v>
      </c>
      <c r="U11" s="1" t="s">
        <v>48</v>
      </c>
      <c r="V11" s="1">
        <v>1</v>
      </c>
      <c r="W11" s="1">
        <v>2</v>
      </c>
      <c r="X11" s="1">
        <v>1</v>
      </c>
      <c r="Y11" s="1">
        <v>3</v>
      </c>
      <c r="Z11" s="1">
        <v>1</v>
      </c>
      <c r="AA11" s="1">
        <v>3</v>
      </c>
      <c r="AB11" s="1">
        <v>1</v>
      </c>
      <c r="AC11" s="1">
        <v>3</v>
      </c>
      <c r="AD11" s="1">
        <v>2</v>
      </c>
      <c r="AE11" s="1">
        <v>1</v>
      </c>
    </row>
    <row r="12" spans="1:48" ht="90">
      <c r="A12" s="1" t="s">
        <v>43</v>
      </c>
      <c r="B12" s="1" t="s">
        <v>56</v>
      </c>
      <c r="C12" t="s">
        <v>57</v>
      </c>
      <c r="D12" s="1" t="s">
        <v>58</v>
      </c>
      <c r="E12" s="1" t="str">
        <f>VLOOKUP(Z12,[1]LicenseDuration_ID!$A$2:$B$8,2,FALSE)</f>
        <v>n/a</v>
      </c>
      <c r="F12" s="1" t="str">
        <f>VLOOKUP(AA12,[1]MaintenanceDuration_ID!$A$2:$B$5,2,FALSE)</f>
        <v>12 months</v>
      </c>
      <c r="G12" s="1" t="str">
        <f>VLOOKUP(V12,[1]ExpectedDeliveryTime_ID!$A$2:$B$12,2,FALSE)</f>
        <v>n/a</v>
      </c>
      <c r="H12" s="1" t="str">
        <f>VLOOKUP(AC12,[1]PaymentModel_ID!$A$2:$B$7,2,FALSE)</f>
        <v>Annual payment</v>
      </c>
      <c r="I12" s="1" t="str">
        <f>VLOOKUP(W12,[1]ExpectedInvoiceDate_ID!$A$2:$B$12,2,FALSE)</f>
        <v>Anually at the beginning of the extended period</v>
      </c>
      <c r="J12" s="1" t="str">
        <f>VLOOKUP(X12,[1]GrantOfRights_ID!$A$2:$B$7,2,FALSE)</f>
        <v>n/a</v>
      </c>
      <c r="K12" s="1" t="str">
        <f>VLOOKUP(AE12,[1]Profile!$A$2:$B$8,2,FALSE)</f>
        <v>License</v>
      </c>
      <c r="M12" s="1" t="str">
        <f>VLOOKUP(Y12,[1]License_Method_ID!$A$2:$B$13,2,FALSE)</f>
        <v>FlexNet Publisher Server Activation Code</v>
      </c>
      <c r="N12" s="1" t="s">
        <v>47</v>
      </c>
      <c r="O12" s="1">
        <v>10</v>
      </c>
      <c r="P12" s="1">
        <v>50</v>
      </c>
      <c r="Q12" s="1" t="str">
        <f>VLOOKUP(AB12,[1]Operational_Profit_Type_ID!$A$2:$B$3,2,FALSE)</f>
        <v>Fix rate</v>
      </c>
      <c r="R12" s="1" t="s">
        <v>55</v>
      </c>
      <c r="T12" s="1" t="str">
        <f>VLOOKUP(AD12,[1]UpdateRightID!$A$2:$B$4,2,FALSE)</f>
        <v>TotalAmountAsUpdateRight</v>
      </c>
      <c r="U12" s="1" t="s">
        <v>48</v>
      </c>
      <c r="V12" s="1">
        <v>1</v>
      </c>
      <c r="W12" s="1">
        <v>2</v>
      </c>
      <c r="X12" s="1">
        <v>1</v>
      </c>
      <c r="Y12" s="1">
        <v>2</v>
      </c>
      <c r="Z12" s="1">
        <v>1</v>
      </c>
      <c r="AA12" s="1">
        <v>3</v>
      </c>
      <c r="AB12" s="1">
        <v>1</v>
      </c>
      <c r="AC12" s="1">
        <v>3</v>
      </c>
      <c r="AD12" s="1">
        <v>2</v>
      </c>
      <c r="AE12" s="1">
        <v>1</v>
      </c>
    </row>
    <row r="13" spans="1:48" ht="75">
      <c r="B13" s="1" t="s">
        <v>59</v>
      </c>
      <c r="C13" t="s">
        <v>60</v>
      </c>
      <c r="D13" s="1" t="s">
        <v>61</v>
      </c>
      <c r="E13" s="1" t="e">
        <f>VLOOKUP(Z13,[1]LicenseDuration_ID!$A$2:$B$8,2,FALSE)</f>
        <v>#N/A</v>
      </c>
      <c r="F13" s="1" t="e">
        <f>VLOOKUP(AA13,[1]MaintenanceDuration_ID!$A$2:$B$5,2,FALSE)</f>
        <v>#N/A</v>
      </c>
      <c r="G13" s="1" t="e">
        <f>VLOOKUP(V13,[1]ExpectedDeliveryTime_ID!$A$2:$B$12,2,FALSE)</f>
        <v>#N/A</v>
      </c>
      <c r="H13" s="1" t="e">
        <f>VLOOKUP(AC13,[1]PaymentModel_ID!$A$2:$B$7,2,FALSE)</f>
        <v>#N/A</v>
      </c>
      <c r="I13" s="1" t="e">
        <f>VLOOKUP(W13,[1]ExpectedInvoiceDate_ID!$A$2:$B$12,2,FALSE)</f>
        <v>#N/A</v>
      </c>
      <c r="J13" s="1" t="e">
        <f>VLOOKUP(X13,[1]GrantOfRights_ID!$A$2:$B$7,2,FALSE)</f>
        <v>#N/A</v>
      </c>
      <c r="K13" s="1" t="str">
        <f>VLOOKUP(AE13,[1]Profile!$A$2:$B$8,2,FALSE)</f>
        <v>License</v>
      </c>
      <c r="M13" s="1" t="str">
        <f>VLOOKUP(Y13,[1]License_Method_ID!$A$2:$B$13,2,FALSE)</f>
        <v>no technical license protection</v>
      </c>
      <c r="O13" s="1">
        <v>10</v>
      </c>
      <c r="P13" s="1">
        <v>50</v>
      </c>
      <c r="Q13" s="1" t="str">
        <f>VLOOKUP(AB13,[1]Operational_Profit_Type_ID!$A$2:$B$3,2,FALSE)</f>
        <v>Fix rate</v>
      </c>
      <c r="R13" s="1" t="s">
        <v>55</v>
      </c>
      <c r="T13" s="1" t="str">
        <f>VLOOKUP(AD13,[1]UpdateRightID!$A$2:$B$4,2,FALSE)</f>
        <v>none</v>
      </c>
      <c r="U13" s="1" t="s">
        <v>48</v>
      </c>
      <c r="Y13" s="1">
        <v>0</v>
      </c>
      <c r="AB13" s="1">
        <v>1</v>
      </c>
      <c r="AD13" s="1">
        <v>0</v>
      </c>
      <c r="AE13" s="1">
        <v>1</v>
      </c>
    </row>
    <row r="14" spans="1:48" ht="60">
      <c r="B14" s="1" t="s">
        <v>62</v>
      </c>
      <c r="C14" t="s">
        <v>63</v>
      </c>
      <c r="D14" s="1" t="s">
        <v>64</v>
      </c>
      <c r="E14" s="1" t="e">
        <f>VLOOKUP(Z14,[1]LicenseDuration_ID!$A$2:$B$8,2,FALSE)</f>
        <v>#N/A</v>
      </c>
      <c r="F14" s="1" t="e">
        <f>VLOOKUP(AA14,[1]MaintenanceDuration_ID!$A$2:$B$5,2,FALSE)</f>
        <v>#N/A</v>
      </c>
      <c r="G14" s="1" t="e">
        <f>VLOOKUP(V14,[1]ExpectedDeliveryTime_ID!$A$2:$B$12,2,FALSE)</f>
        <v>#N/A</v>
      </c>
      <c r="H14" s="1" t="e">
        <f>VLOOKUP(AC14,[1]PaymentModel_ID!$A$2:$B$7,2,FALSE)</f>
        <v>#N/A</v>
      </c>
      <c r="I14" s="1" t="e">
        <f>VLOOKUP(W14,[1]ExpectedInvoiceDate_ID!$A$2:$B$12,2,FALSE)</f>
        <v>#N/A</v>
      </c>
      <c r="J14" s="1" t="e">
        <f>VLOOKUP(X14,[1]GrantOfRights_ID!$A$2:$B$7,2,FALSE)</f>
        <v>#N/A</v>
      </c>
      <c r="K14" s="1" t="str">
        <f>VLOOKUP(AE14,[1]Profile!$A$2:$B$8,2,FALSE)</f>
        <v>License</v>
      </c>
      <c r="M14" s="1" t="str">
        <f>VLOOKUP(Y14,[1]License_Method_ID!$A$2:$B$13,2,FALSE)</f>
        <v>no technical license protection</v>
      </c>
      <c r="O14" s="1">
        <v>10</v>
      </c>
      <c r="P14" s="1">
        <v>50</v>
      </c>
      <c r="Q14" s="1" t="str">
        <f>VLOOKUP(AB14,[1]Operational_Profit_Type_ID!$A$2:$B$3,2,FALSE)</f>
        <v>Fix rate</v>
      </c>
      <c r="R14" s="1" t="s">
        <v>55</v>
      </c>
      <c r="T14" s="1" t="str">
        <f>VLOOKUP(AD14,[1]UpdateRightID!$A$2:$B$4,2,FALSE)</f>
        <v>none</v>
      </c>
      <c r="U14" s="1" t="s">
        <v>48</v>
      </c>
      <c r="Y14" s="1">
        <v>0</v>
      </c>
      <c r="AB14" s="1">
        <v>1</v>
      </c>
      <c r="AD14" s="1">
        <v>0</v>
      </c>
      <c r="AE14" s="1">
        <v>1</v>
      </c>
    </row>
    <row r="15" spans="1:48" ht="30">
      <c r="B15" s="1" t="s">
        <v>65</v>
      </c>
      <c r="C15" t="s">
        <v>66</v>
      </c>
      <c r="D15" s="1" t="s">
        <v>67</v>
      </c>
      <c r="E15" s="1" t="e">
        <f>VLOOKUP(Z15,[1]LicenseDuration_ID!$A$2:$B$8,2,FALSE)</f>
        <v>#N/A</v>
      </c>
      <c r="F15" s="1" t="e">
        <f>VLOOKUP(AA15,[1]MaintenanceDuration_ID!$A$2:$B$5,2,FALSE)</f>
        <v>#N/A</v>
      </c>
      <c r="G15" s="1" t="e">
        <f>VLOOKUP(V15,[1]ExpectedDeliveryTime_ID!$A$2:$B$12,2,FALSE)</f>
        <v>#N/A</v>
      </c>
      <c r="H15" s="1" t="e">
        <f>VLOOKUP(AC15,[1]PaymentModel_ID!$A$2:$B$7,2,FALSE)</f>
        <v>#N/A</v>
      </c>
      <c r="I15" s="1" t="e">
        <f>VLOOKUP(W15,[1]ExpectedInvoiceDate_ID!$A$2:$B$12,2,FALSE)</f>
        <v>#N/A</v>
      </c>
      <c r="J15" s="1" t="e">
        <f>VLOOKUP(X15,[1]GrantOfRights_ID!$A$2:$B$7,2,FALSE)</f>
        <v>#N/A</v>
      </c>
      <c r="K15" s="1" t="str">
        <f>VLOOKUP(AE15,[1]Profile!$A$2:$B$8,2,FALSE)</f>
        <v>License</v>
      </c>
      <c r="M15" s="1" t="str">
        <f>VLOOKUP(Y15,[1]License_Method_ID!$A$2:$B$13,2,FALSE)</f>
        <v>no technical license protection</v>
      </c>
      <c r="O15" s="1">
        <v>10</v>
      </c>
      <c r="P15" s="1">
        <v>50</v>
      </c>
      <c r="Q15" s="1" t="str">
        <f>VLOOKUP(AB15,[1]Operational_Profit_Type_ID!$A$2:$B$3,2,FALSE)</f>
        <v>Fix rate</v>
      </c>
      <c r="R15" s="1" t="s">
        <v>55</v>
      </c>
      <c r="T15" s="1" t="str">
        <f>VLOOKUP(AD15,[1]UpdateRightID!$A$2:$B$4,2,FALSE)</f>
        <v>none</v>
      </c>
      <c r="U15" s="1" t="s">
        <v>48</v>
      </c>
      <c r="Y15" s="1">
        <v>0</v>
      </c>
      <c r="AB15" s="1">
        <v>1</v>
      </c>
      <c r="AD15" s="1">
        <v>0</v>
      </c>
      <c r="AE15" s="1">
        <v>1</v>
      </c>
    </row>
    <row r="16" spans="1:48" ht="45">
      <c r="A16" s="1" t="s">
        <v>43</v>
      </c>
      <c r="B16" s="1" t="s">
        <v>68</v>
      </c>
      <c r="C16" t="s">
        <v>69</v>
      </c>
      <c r="D16" s="1" t="s">
        <v>70</v>
      </c>
      <c r="E16" s="1" t="str">
        <f>VLOOKUP(Z16,[1]LicenseDuration_ID!$A$2:$B$8,2,FALSE)</f>
        <v>n/a</v>
      </c>
      <c r="F16" s="1" t="str">
        <f>VLOOKUP(AA16,[1]MaintenanceDuration_ID!$A$2:$B$5,2,FALSE)</f>
        <v>n/a</v>
      </c>
      <c r="G16" s="1" t="str">
        <f>VLOOKUP(V16,[1]ExpectedDeliveryTime_ID!$A$2:$B$12,2,FALSE)</f>
        <v>FINALIZED PURCHASE PROCESS + 16 weeks</v>
      </c>
      <c r="H16" s="1" t="str">
        <f>VLOOKUP(AC16,[1]PaymentModel_ID!$A$2:$B$7,2,FALSE)</f>
        <v>One-time payment</v>
      </c>
      <c r="I16" s="1" t="str">
        <f>VLOOKUP(W16,[1]ExpectedInvoiceDate_ID!$A$2:$B$12,2,FALSE)</f>
        <v>With FINAL DELIVERY</v>
      </c>
      <c r="J16" s="1" t="str">
        <f>VLOOKUP(X16,[1]GrantOfRights_ID!$A$2:$B$7,2,FALSE)</f>
        <v>n/a</v>
      </c>
      <c r="K16" s="1" t="str">
        <f>VLOOKUP(AE16,[1]Profile!$A$2:$B$8,2,FALSE)</f>
        <v>Hardware</v>
      </c>
      <c r="M16" s="1" t="str">
        <f>VLOOKUP(Y16,[1]License_Method_ID!$A$2:$B$13,2,FALSE)</f>
        <v>no technical license protection</v>
      </c>
      <c r="N16" s="1" t="s">
        <v>47</v>
      </c>
      <c r="O16" s="1">
        <v>10</v>
      </c>
      <c r="Q16" s="1" t="str">
        <f>VLOOKUP(AB16,[1]Operational_Profit_Type_ID!$A$2:$B$3,2,FALSE)</f>
        <v>Calculated</v>
      </c>
      <c r="R16" s="1" t="s">
        <v>55</v>
      </c>
      <c r="T16" s="1" t="str">
        <f>VLOOKUP(AD16,[1]UpdateRightID!$A$2:$B$4,2,FALSE)</f>
        <v>none</v>
      </c>
      <c r="U16" s="1" t="s">
        <v>48</v>
      </c>
      <c r="V16" s="1">
        <v>16</v>
      </c>
      <c r="W16" s="1">
        <v>7</v>
      </c>
      <c r="X16" s="1">
        <v>1</v>
      </c>
      <c r="Y16" s="1">
        <v>0</v>
      </c>
      <c r="Z16" s="1">
        <v>1</v>
      </c>
      <c r="AA16" s="1">
        <v>1</v>
      </c>
      <c r="AB16" s="1">
        <v>2</v>
      </c>
      <c r="AC16" s="1">
        <v>2</v>
      </c>
      <c r="AD16" s="1">
        <v>0</v>
      </c>
      <c r="AE16" s="1">
        <v>6</v>
      </c>
    </row>
    <row r="17" spans="1:31">
      <c r="B17" s="1" t="s">
        <v>71</v>
      </c>
      <c r="C17" t="s">
        <v>72</v>
      </c>
      <c r="E17" s="1" t="e">
        <f>VLOOKUP(Z17,[1]LicenseDuration_ID!$A$2:$B$8,2,FALSE)</f>
        <v>#N/A</v>
      </c>
      <c r="F17" s="1" t="e">
        <f>VLOOKUP(AA17,[1]MaintenanceDuration_ID!$A$2:$B$5,2,FALSE)</f>
        <v>#N/A</v>
      </c>
      <c r="G17" s="1" t="e">
        <f>VLOOKUP(V17,[1]ExpectedDeliveryTime_ID!$A$2:$B$12,2,FALSE)</f>
        <v>#N/A</v>
      </c>
      <c r="H17" s="1" t="e">
        <f>VLOOKUP(AC17,[1]PaymentModel_ID!$A$2:$B$7,2,FALSE)</f>
        <v>#N/A</v>
      </c>
      <c r="I17" s="1" t="e">
        <f>VLOOKUP(W17,[1]ExpectedInvoiceDate_ID!$A$2:$B$12,2,FALSE)</f>
        <v>#N/A</v>
      </c>
      <c r="J17" s="1" t="e">
        <f>VLOOKUP(X17,[1]GrantOfRights_ID!$A$2:$B$7,2,FALSE)</f>
        <v>#N/A</v>
      </c>
      <c r="K17" s="1" t="str">
        <f>VLOOKUP(AE17,[1]Profile!$A$2:$B$8,2,FALSE)</f>
        <v>Training</v>
      </c>
      <c r="M17" s="1" t="str">
        <f>VLOOKUP(Y17,[1]License_Method_ID!$A$2:$B$13,2,FALSE)</f>
        <v>no technical license protection</v>
      </c>
      <c r="N17" s="1" t="s">
        <v>47</v>
      </c>
      <c r="O17" s="1">
        <v>10</v>
      </c>
      <c r="Q17" s="1" t="str">
        <f>VLOOKUP(AB17,[1]Operational_Profit_Type_ID!$A$2:$B$3,2,FALSE)</f>
        <v>Calculated</v>
      </c>
      <c r="R17" s="1" t="s">
        <v>55</v>
      </c>
      <c r="T17" s="1" t="str">
        <f>VLOOKUP(AD17,[1]UpdateRightID!$A$2:$B$4,2,FALSE)</f>
        <v>none</v>
      </c>
      <c r="U17" s="1" t="s">
        <v>48</v>
      </c>
      <c r="Y17" s="1">
        <v>0</v>
      </c>
      <c r="AB17" s="1">
        <v>2</v>
      </c>
      <c r="AD17" s="1">
        <v>0</v>
      </c>
      <c r="AE17" s="1">
        <v>5</v>
      </c>
    </row>
    <row r="18" spans="1:31" ht="75">
      <c r="B18" s="1" t="s">
        <v>73</v>
      </c>
      <c r="C18" t="s">
        <v>74</v>
      </c>
      <c r="D18" s="1" t="s">
        <v>75</v>
      </c>
      <c r="E18" s="1" t="e">
        <f>VLOOKUP(Z18,[1]LicenseDuration_ID!$A$2:$B$8,2,FALSE)</f>
        <v>#N/A</v>
      </c>
      <c r="F18" s="1" t="e">
        <f>VLOOKUP(AA18,[1]MaintenanceDuration_ID!$A$2:$B$5,2,FALSE)</f>
        <v>#N/A</v>
      </c>
      <c r="G18" s="1" t="e">
        <f>VLOOKUP(V18,[1]ExpectedDeliveryTime_ID!$A$2:$B$12,2,FALSE)</f>
        <v>#N/A</v>
      </c>
      <c r="H18" s="1" t="e">
        <f>VLOOKUP(AC18,[1]PaymentModel_ID!$A$2:$B$7,2,FALSE)</f>
        <v>#N/A</v>
      </c>
      <c r="I18" s="1" t="e">
        <f>VLOOKUP(W18,[1]ExpectedInvoiceDate_ID!$A$2:$B$12,2,FALSE)</f>
        <v>#N/A</v>
      </c>
      <c r="J18" s="1" t="e">
        <f>VLOOKUP(X18,[1]GrantOfRights_ID!$A$2:$B$7,2,FALSE)</f>
        <v>#N/A</v>
      </c>
      <c r="K18" s="1" t="str">
        <f>VLOOKUP(AE18,[1]Profile!$A$2:$B$8,2,FALSE)</f>
        <v>Product related service without profile</v>
      </c>
      <c r="M18" s="1" t="str">
        <f>VLOOKUP(Y18,[1]License_Method_ID!$A$2:$B$13,2,FALSE)</f>
        <v>no technical license protection</v>
      </c>
      <c r="O18" s="1">
        <v>10</v>
      </c>
      <c r="Q18" s="1" t="str">
        <f>VLOOKUP(AB18,[1]Operational_Profit_Type_ID!$A$2:$B$3,2,FALSE)</f>
        <v>Calculated</v>
      </c>
      <c r="R18" s="1" t="s">
        <v>55</v>
      </c>
      <c r="T18" s="1" t="str">
        <f>VLOOKUP(AD18,[1]UpdateRightID!$A$2:$B$4,2,FALSE)</f>
        <v>none</v>
      </c>
      <c r="U18" s="1" t="s">
        <v>48</v>
      </c>
      <c r="Y18" s="1">
        <v>0</v>
      </c>
      <c r="AB18" s="1">
        <v>2</v>
      </c>
      <c r="AD18" s="1">
        <v>0</v>
      </c>
      <c r="AE18" s="1">
        <v>0</v>
      </c>
    </row>
    <row r="19" spans="1:31" ht="390">
      <c r="A19" s="1" t="s">
        <v>43</v>
      </c>
      <c r="B19" s="1" t="s">
        <v>76</v>
      </c>
      <c r="C19" t="s">
        <v>77</v>
      </c>
      <c r="D19" s="1" t="s">
        <v>78</v>
      </c>
      <c r="E19" s="1" t="str">
        <f>VLOOKUP(Z19,[1]LicenseDuration_ID!$A$2:$B$8,2,FALSE)</f>
        <v>12 months</v>
      </c>
      <c r="F19" s="1" t="str">
        <f>VLOOKUP(AA19,[1]MaintenanceDuration_ID!$A$2:$B$5,2,FALSE)</f>
        <v>12 months</v>
      </c>
      <c r="G19" s="1" t="str">
        <f>VLOOKUP(V19,[1]ExpectedDeliveryTime_ID!$A$2:$B$12,2,FALSE)</f>
        <v>FINALIZED PURCHASE PROCESS + 2 weeks</v>
      </c>
      <c r="H19" s="1" t="str">
        <f>VLOOKUP(AC19,[1]PaymentModel_ID!$A$2:$B$7,2,FALSE)</f>
        <v>One-time payment</v>
      </c>
      <c r="I19" s="1" t="str">
        <f>VLOOKUP(W19,[1]ExpectedInvoiceDate_ID!$A$2:$B$12,2,FALSE)</f>
        <v>With FINAL DELIVERY</v>
      </c>
      <c r="J19" s="1" t="str">
        <f>VLOOKUP(X19,[1]GrantOfRights_ID!$A$2:$B$7,2,FALSE)</f>
        <v>Development License</v>
      </c>
      <c r="K19" s="1" t="str">
        <f>VLOOKUP(AE19,[1]Profile!$A$2:$B$8,2,FALSE)</f>
        <v>License</v>
      </c>
      <c r="M19" s="1" t="str">
        <f>VLOOKUP(Y19,[1]License_Method_ID!$A$2:$B$13,2,FALSE)</f>
        <v>no technical license protection</v>
      </c>
      <c r="N19" s="1" t="s">
        <v>47</v>
      </c>
      <c r="O19" s="1">
        <v>10</v>
      </c>
      <c r="P19" s="1">
        <v>50</v>
      </c>
      <c r="Q19" s="1" t="str">
        <f>VLOOKUP(AB19,[1]Operational_Profit_Type_ID!$A$2:$B$3,2,FALSE)</f>
        <v>Fix rate</v>
      </c>
      <c r="R19" s="1" t="s">
        <v>55</v>
      </c>
      <c r="T19" s="1" t="str">
        <f>VLOOKUP(AD19,[1]UpdateRightID!$A$2:$B$4,2,FALSE)</f>
        <v>UpdateRightByConfiguration</v>
      </c>
      <c r="U19" s="1" t="s">
        <v>48</v>
      </c>
      <c r="V19" s="1">
        <v>2</v>
      </c>
      <c r="W19" s="1">
        <v>7</v>
      </c>
      <c r="X19" s="1">
        <v>4</v>
      </c>
      <c r="Y19" s="1">
        <v>0</v>
      </c>
      <c r="Z19" s="1">
        <v>4</v>
      </c>
      <c r="AA19" s="1">
        <v>3</v>
      </c>
      <c r="AB19" s="1">
        <v>1</v>
      </c>
      <c r="AC19" s="1">
        <v>2</v>
      </c>
      <c r="AD19" s="1">
        <v>1</v>
      </c>
      <c r="AE19" s="1">
        <v>1</v>
      </c>
    </row>
    <row r="20" spans="1:31">
      <c r="B20" s="1" t="s">
        <v>79</v>
      </c>
      <c r="C20" t="s">
        <v>80</v>
      </c>
      <c r="E20" s="1" t="e">
        <f>VLOOKUP(Z20,[1]LicenseDuration_ID!$A$2:$B$8,2,FALSE)</f>
        <v>#N/A</v>
      </c>
      <c r="F20" s="1" t="e">
        <f>VLOOKUP(AA20,[1]MaintenanceDuration_ID!$A$2:$B$5,2,FALSE)</f>
        <v>#N/A</v>
      </c>
      <c r="G20" s="1" t="e">
        <f>VLOOKUP(V20,[1]ExpectedDeliveryTime_ID!$A$2:$B$12,2,FALSE)</f>
        <v>#N/A</v>
      </c>
      <c r="H20" s="1" t="e">
        <f>VLOOKUP(AC20,[1]PaymentModel_ID!$A$2:$B$7,2,FALSE)</f>
        <v>#N/A</v>
      </c>
      <c r="I20" s="1" t="e">
        <f>VLOOKUP(W20,[1]ExpectedInvoiceDate_ID!$A$2:$B$12,2,FALSE)</f>
        <v>#N/A</v>
      </c>
      <c r="J20" s="1" t="e">
        <f>VLOOKUP(X20,[1]GrantOfRights_ID!$A$2:$B$7,2,FALSE)</f>
        <v>#N/A</v>
      </c>
      <c r="K20" s="1" t="str">
        <f>VLOOKUP(AE20,[1]Profile!$A$2:$B$8,2,FALSE)</f>
        <v>License</v>
      </c>
      <c r="M20" s="1" t="str">
        <f>VLOOKUP(Y20,[1]License_Method_ID!$A$2:$B$13,2,FALSE)</f>
        <v>no technical license protection</v>
      </c>
      <c r="O20" s="1">
        <v>10</v>
      </c>
      <c r="P20" s="1">
        <v>50</v>
      </c>
      <c r="Q20" s="1" t="str">
        <f>VLOOKUP(AB20,[1]Operational_Profit_Type_ID!$A$2:$B$3,2,FALSE)</f>
        <v>Fix rate</v>
      </c>
      <c r="R20" s="1" t="s">
        <v>55</v>
      </c>
      <c r="T20" s="1" t="str">
        <f>VLOOKUP(AD20,[1]UpdateRightID!$A$2:$B$4,2,FALSE)</f>
        <v>none</v>
      </c>
      <c r="U20" s="1" t="s">
        <v>48</v>
      </c>
      <c r="Y20" s="1">
        <v>0</v>
      </c>
      <c r="AB20" s="1">
        <v>1</v>
      </c>
      <c r="AD20" s="1">
        <v>0</v>
      </c>
      <c r="AE20" s="1">
        <v>1</v>
      </c>
    </row>
    <row r="21" spans="1:31">
      <c r="B21" s="1" t="s">
        <v>81</v>
      </c>
      <c r="C21" t="s">
        <v>82</v>
      </c>
      <c r="E21" s="1" t="e">
        <f>VLOOKUP(Z21,[1]LicenseDuration_ID!$A$2:$B$8,2,FALSE)</f>
        <v>#N/A</v>
      </c>
      <c r="F21" s="1" t="e">
        <f>VLOOKUP(AA21,[1]MaintenanceDuration_ID!$A$2:$B$5,2,FALSE)</f>
        <v>#N/A</v>
      </c>
      <c r="G21" s="1" t="e">
        <f>VLOOKUP(V21,[1]ExpectedDeliveryTime_ID!$A$2:$B$12,2,FALSE)</f>
        <v>#N/A</v>
      </c>
      <c r="H21" s="1" t="e">
        <f>VLOOKUP(AC21,[1]PaymentModel_ID!$A$2:$B$7,2,FALSE)</f>
        <v>#N/A</v>
      </c>
      <c r="I21" s="1" t="e">
        <f>VLOOKUP(W21,[1]ExpectedInvoiceDate_ID!$A$2:$B$12,2,FALSE)</f>
        <v>#N/A</v>
      </c>
      <c r="J21" s="1" t="e">
        <f>VLOOKUP(X21,[1]GrantOfRights_ID!$A$2:$B$7,2,FALSE)</f>
        <v>#N/A</v>
      </c>
      <c r="K21" s="1" t="str">
        <f>VLOOKUP(AE21,[1]Profile!$A$2:$B$8,2,FALSE)</f>
        <v>License</v>
      </c>
      <c r="M21" s="1" t="str">
        <f>VLOOKUP(Y21,[1]License_Method_ID!$A$2:$B$13,2,FALSE)</f>
        <v>no technical license protection</v>
      </c>
      <c r="O21" s="1">
        <v>10</v>
      </c>
      <c r="P21" s="1">
        <v>50</v>
      </c>
      <c r="Q21" s="1" t="str">
        <f>VLOOKUP(AB21,[1]Operational_Profit_Type_ID!$A$2:$B$3,2,FALSE)</f>
        <v>Fix rate</v>
      </c>
      <c r="R21" s="1" t="s">
        <v>48</v>
      </c>
      <c r="T21" s="1" t="e">
        <f>VLOOKUP(AD21,[1]UpdateRightID!$A$2:$B$4,2,FALSE)</f>
        <v>#N/A</v>
      </c>
      <c r="U21" s="1" t="s">
        <v>48</v>
      </c>
      <c r="Y21" s="1">
        <v>0</v>
      </c>
      <c r="AB21" s="1">
        <v>1</v>
      </c>
      <c r="AD21" s="1">
        <v>-1</v>
      </c>
      <c r="AE21" s="1">
        <v>1</v>
      </c>
    </row>
    <row r="22" spans="1:31" ht="90">
      <c r="B22" s="1" t="s">
        <v>83</v>
      </c>
      <c r="C22" t="s">
        <v>84</v>
      </c>
      <c r="D22" s="1" t="s">
        <v>85</v>
      </c>
      <c r="E22" s="1" t="e">
        <f>VLOOKUP(Z22,[1]LicenseDuration_ID!$A$2:$B$8,2,FALSE)</f>
        <v>#N/A</v>
      </c>
      <c r="F22" s="1" t="e">
        <f>VLOOKUP(AA22,[1]MaintenanceDuration_ID!$A$2:$B$5,2,FALSE)</f>
        <v>#N/A</v>
      </c>
      <c r="G22" s="1" t="e">
        <f>VLOOKUP(V22,[1]ExpectedDeliveryTime_ID!$A$2:$B$12,2,FALSE)</f>
        <v>#N/A</v>
      </c>
      <c r="H22" s="1" t="e">
        <f>VLOOKUP(AC22,[1]PaymentModel_ID!$A$2:$B$7,2,FALSE)</f>
        <v>#N/A</v>
      </c>
      <c r="I22" s="1" t="e">
        <f>VLOOKUP(W22,[1]ExpectedInvoiceDate_ID!$A$2:$B$12,2,FALSE)</f>
        <v>#N/A</v>
      </c>
      <c r="J22" s="1" t="e">
        <f>VLOOKUP(X22,[1]GrantOfRights_ID!$A$2:$B$7,2,FALSE)</f>
        <v>#N/A</v>
      </c>
      <c r="K22" s="1" t="str">
        <f>VLOOKUP(AE22,[1]Profile!$A$2:$B$8,2,FALSE)</f>
        <v>License</v>
      </c>
      <c r="M22" s="1" t="str">
        <f>VLOOKUP(Y22,[1]License_Method_ID!$A$2:$B$13,2,FALSE)</f>
        <v>no technical license protection</v>
      </c>
      <c r="N22" s="1" t="s">
        <v>47</v>
      </c>
      <c r="O22" s="1">
        <v>10</v>
      </c>
      <c r="P22" s="1">
        <v>50</v>
      </c>
      <c r="Q22" s="1" t="str">
        <f>VLOOKUP(AB22,[1]Operational_Profit_Type_ID!$A$2:$B$3,2,FALSE)</f>
        <v>Fix rate</v>
      </c>
      <c r="R22" s="1" t="s">
        <v>48</v>
      </c>
      <c r="T22" s="1" t="str">
        <f>VLOOKUP(AD22,[1]UpdateRightID!$A$2:$B$4,2,FALSE)</f>
        <v>UpdateRightByConfiguration</v>
      </c>
      <c r="U22" s="1" t="s">
        <v>48</v>
      </c>
      <c r="Y22" s="1">
        <v>0</v>
      </c>
      <c r="AB22" s="1">
        <v>1</v>
      </c>
      <c r="AD22" s="1">
        <v>1</v>
      </c>
      <c r="AE22" s="1">
        <v>1</v>
      </c>
    </row>
    <row r="23" spans="1:31" ht="75">
      <c r="B23" s="1" t="s">
        <v>86</v>
      </c>
      <c r="C23" t="s">
        <v>87</v>
      </c>
      <c r="E23" s="1" t="e">
        <f>VLOOKUP(Z23,[1]LicenseDuration_ID!$A$2:$B$8,2,FALSE)</f>
        <v>#N/A</v>
      </c>
      <c r="F23" s="1" t="e">
        <f>VLOOKUP(AA23,[1]MaintenanceDuration_ID!$A$2:$B$5,2,FALSE)</f>
        <v>#N/A</v>
      </c>
      <c r="G23" s="1" t="e">
        <f>VLOOKUP(V23,[1]ExpectedDeliveryTime_ID!$A$2:$B$12,2,FALSE)</f>
        <v>#N/A</v>
      </c>
      <c r="H23" s="1" t="e">
        <f>VLOOKUP(AC23,[1]PaymentModel_ID!$A$2:$B$7,2,FALSE)</f>
        <v>#N/A</v>
      </c>
      <c r="I23" s="1" t="e">
        <f>VLOOKUP(W23,[1]ExpectedInvoiceDate_ID!$A$2:$B$12,2,FALSE)</f>
        <v>#N/A</v>
      </c>
      <c r="J23" s="1" t="e">
        <f>VLOOKUP(X23,[1]GrantOfRights_ID!$A$2:$B$7,2,FALSE)</f>
        <v>#N/A</v>
      </c>
      <c r="K23" s="1" t="str">
        <f>VLOOKUP(AE23,[1]Profile!$A$2:$B$8,2,FALSE)</f>
        <v>Product related service without profile</v>
      </c>
      <c r="M23" s="1" t="str">
        <f>VLOOKUP(Y23,[1]License_Method_ID!$A$2:$B$13,2,FALSE)</f>
        <v>no technical license protection</v>
      </c>
      <c r="N23" s="1" t="s">
        <v>88</v>
      </c>
      <c r="O23" s="1">
        <v>10</v>
      </c>
      <c r="Q23" s="1" t="str">
        <f>VLOOKUP(AB23,[1]Operational_Profit_Type_ID!$A$2:$B$3,2,FALSE)</f>
        <v>Calculated</v>
      </c>
      <c r="R23" s="1" t="s">
        <v>55</v>
      </c>
      <c r="T23" s="1" t="str">
        <f>VLOOKUP(AD23,[1]UpdateRightID!$A$2:$B$4,2,FALSE)</f>
        <v>none</v>
      </c>
      <c r="U23" s="1" t="s">
        <v>48</v>
      </c>
      <c r="Y23" s="1">
        <v>0</v>
      </c>
      <c r="AB23" s="1">
        <v>2</v>
      </c>
      <c r="AD23" s="1">
        <v>0</v>
      </c>
      <c r="AE23" s="1">
        <v>0</v>
      </c>
    </row>
    <row r="24" spans="1:31" ht="255">
      <c r="B24" s="1" t="s">
        <v>89</v>
      </c>
      <c r="C24" t="s">
        <v>90</v>
      </c>
      <c r="D24" s="1" t="s">
        <v>91</v>
      </c>
      <c r="E24" s="1" t="e">
        <f>VLOOKUP(Z24,[1]LicenseDuration_ID!$A$2:$B$8,2,FALSE)</f>
        <v>#N/A</v>
      </c>
      <c r="F24" s="1" t="e">
        <f>VLOOKUP(AA24,[1]MaintenanceDuration_ID!$A$2:$B$5,2,FALSE)</f>
        <v>#N/A</v>
      </c>
      <c r="G24" s="1" t="e">
        <f>VLOOKUP(V24,[1]ExpectedDeliveryTime_ID!$A$2:$B$12,2,FALSE)</f>
        <v>#N/A</v>
      </c>
      <c r="H24" s="1" t="e">
        <f>VLOOKUP(AC24,[1]PaymentModel_ID!$A$2:$B$7,2,FALSE)</f>
        <v>#N/A</v>
      </c>
      <c r="I24" s="1" t="e">
        <f>VLOOKUP(W24,[1]ExpectedInvoiceDate_ID!$A$2:$B$12,2,FALSE)</f>
        <v>#N/A</v>
      </c>
      <c r="J24" s="1" t="e">
        <f>VLOOKUP(X24,[1]GrantOfRights_ID!$A$2:$B$7,2,FALSE)</f>
        <v>#N/A</v>
      </c>
      <c r="K24" s="1" t="str">
        <f>VLOOKUP(AE24,[1]Profile!$A$2:$B$8,2,FALSE)</f>
        <v>License</v>
      </c>
      <c r="M24" s="1" t="str">
        <f>VLOOKUP(Y24,[1]License_Method_ID!$A$2:$B$13,2,FALSE)</f>
        <v>EB GUIDE Node-Locked License File</v>
      </c>
      <c r="N24" s="1" t="s">
        <v>47</v>
      </c>
      <c r="O24" s="1">
        <v>10</v>
      </c>
      <c r="P24" s="1">
        <v>50</v>
      </c>
      <c r="Q24" s="1" t="str">
        <f>VLOOKUP(AB24,[1]Operational_Profit_Type_ID!$A$2:$B$3,2,FALSE)</f>
        <v>Fix rate</v>
      </c>
      <c r="R24" s="1" t="s">
        <v>48</v>
      </c>
      <c r="S24" s="1">
        <v>10</v>
      </c>
      <c r="T24" s="1" t="str">
        <f>VLOOKUP(AD24,[1]UpdateRightID!$A$2:$B$4,2,FALSE)</f>
        <v>TotalAmountAsUpdateRight</v>
      </c>
      <c r="U24" s="1" t="s">
        <v>48</v>
      </c>
      <c r="Y24" s="1">
        <v>9</v>
      </c>
      <c r="AB24" s="1">
        <v>1</v>
      </c>
      <c r="AD24" s="1">
        <v>2</v>
      </c>
      <c r="AE24" s="1">
        <v>1</v>
      </c>
    </row>
    <row r="25" spans="1:31" ht="60">
      <c r="B25" s="1" t="s">
        <v>92</v>
      </c>
      <c r="C25" t="s">
        <v>93</v>
      </c>
      <c r="D25" s="1" t="s">
        <v>94</v>
      </c>
      <c r="E25" s="1" t="e">
        <f>VLOOKUP(Z25,[1]LicenseDuration_ID!$A$2:$B$8,2,FALSE)</f>
        <v>#N/A</v>
      </c>
      <c r="F25" s="1" t="e">
        <f>VLOOKUP(AA25,[1]MaintenanceDuration_ID!$A$2:$B$5,2,FALSE)</f>
        <v>#N/A</v>
      </c>
      <c r="G25" s="1" t="e">
        <f>VLOOKUP(V25,[1]ExpectedDeliveryTime_ID!$A$2:$B$12,2,FALSE)</f>
        <v>#N/A</v>
      </c>
      <c r="H25" s="1" t="e">
        <f>VLOOKUP(AC25,[1]PaymentModel_ID!$A$2:$B$7,2,FALSE)</f>
        <v>#N/A</v>
      </c>
      <c r="I25" s="1" t="e">
        <f>VLOOKUP(W25,[1]ExpectedInvoiceDate_ID!$A$2:$B$12,2,FALSE)</f>
        <v>#N/A</v>
      </c>
      <c r="J25" s="1" t="e">
        <f>VLOOKUP(X25,[1]GrantOfRights_ID!$A$2:$B$7,2,FALSE)</f>
        <v>#N/A</v>
      </c>
      <c r="K25" s="1" t="str">
        <f>VLOOKUP(AE25,[1]Profile!$A$2:$B$8,2,FALSE)</f>
        <v>License</v>
      </c>
      <c r="M25" s="1" t="str">
        <f>VLOOKUP(Y25,[1]License_Method_ID!$A$2:$B$13,2,FALSE)</f>
        <v>no technical license protection</v>
      </c>
      <c r="N25" s="1" t="s">
        <v>47</v>
      </c>
      <c r="O25" s="1">
        <v>10</v>
      </c>
      <c r="P25" s="1">
        <v>50</v>
      </c>
      <c r="Q25" s="1" t="str">
        <f>VLOOKUP(AB25,[1]Operational_Profit_Type_ID!$A$2:$B$3,2,FALSE)</f>
        <v>Fix rate</v>
      </c>
      <c r="R25" s="1" t="s">
        <v>48</v>
      </c>
      <c r="T25" s="1" t="str">
        <f>VLOOKUP(AD25,[1]UpdateRightID!$A$2:$B$4,2,FALSE)</f>
        <v>TotalAmountAsUpdateRight</v>
      </c>
      <c r="U25" s="1" t="s">
        <v>48</v>
      </c>
      <c r="Y25" s="1">
        <v>0</v>
      </c>
      <c r="AB25" s="1">
        <v>1</v>
      </c>
      <c r="AD25" s="1">
        <v>2</v>
      </c>
      <c r="AE25" s="1">
        <v>1</v>
      </c>
    </row>
    <row r="26" spans="1:31" ht="75">
      <c r="B26" s="1" t="s">
        <v>95</v>
      </c>
      <c r="C26" t="s">
        <v>96</v>
      </c>
      <c r="D26" s="1" t="s">
        <v>97</v>
      </c>
      <c r="E26" s="1" t="e">
        <f>VLOOKUP(Z26,[1]LicenseDuration_ID!$A$2:$B$8,2,FALSE)</f>
        <v>#N/A</v>
      </c>
      <c r="F26" s="1" t="e">
        <f>VLOOKUP(AA26,[1]MaintenanceDuration_ID!$A$2:$B$5,2,FALSE)</f>
        <v>#N/A</v>
      </c>
      <c r="G26" s="1" t="e">
        <f>VLOOKUP(V26,[1]ExpectedDeliveryTime_ID!$A$2:$B$12,2,FALSE)</f>
        <v>#N/A</v>
      </c>
      <c r="H26" s="1" t="e">
        <f>VLOOKUP(AC26,[1]PaymentModel_ID!$A$2:$B$7,2,FALSE)</f>
        <v>#N/A</v>
      </c>
      <c r="I26" s="1" t="e">
        <f>VLOOKUP(W26,[1]ExpectedInvoiceDate_ID!$A$2:$B$12,2,FALSE)</f>
        <v>#N/A</v>
      </c>
      <c r="J26" s="1" t="e">
        <f>VLOOKUP(X26,[1]GrantOfRights_ID!$A$2:$B$7,2,FALSE)</f>
        <v>#N/A</v>
      </c>
      <c r="K26" s="1" t="str">
        <f>VLOOKUP(AE26,[1]Profile!$A$2:$B$8,2,FALSE)</f>
        <v>License</v>
      </c>
      <c r="M26" s="1" t="str">
        <f>VLOOKUP(Y26,[1]License_Method_ID!$A$2:$B$13,2,FALSE)</f>
        <v>no technical license protection</v>
      </c>
      <c r="O26" s="1">
        <v>10</v>
      </c>
      <c r="P26" s="1">
        <v>50</v>
      </c>
      <c r="Q26" s="1" t="str">
        <f>VLOOKUP(AB26,[1]Operational_Profit_Type_ID!$A$2:$B$3,2,FALSE)</f>
        <v>Fix rate</v>
      </c>
      <c r="R26" s="1" t="s">
        <v>55</v>
      </c>
      <c r="T26" s="1" t="str">
        <f>VLOOKUP(AD26,[1]UpdateRightID!$A$2:$B$4,2,FALSE)</f>
        <v>none</v>
      </c>
      <c r="U26" s="1" t="s">
        <v>48</v>
      </c>
      <c r="Y26" s="1">
        <v>0</v>
      </c>
      <c r="AB26" s="1">
        <v>1</v>
      </c>
      <c r="AD26" s="1">
        <v>0</v>
      </c>
      <c r="AE26" s="1">
        <v>1</v>
      </c>
    </row>
    <row r="27" spans="1:31" ht="30">
      <c r="B27" s="1" t="s">
        <v>98</v>
      </c>
      <c r="C27" t="s">
        <v>99</v>
      </c>
      <c r="D27" s="1" t="s">
        <v>100</v>
      </c>
      <c r="E27" s="1" t="e">
        <f>VLOOKUP(Z27,[1]LicenseDuration_ID!$A$2:$B$8,2,FALSE)</f>
        <v>#N/A</v>
      </c>
      <c r="F27" s="1" t="e">
        <f>VLOOKUP(AA27,[1]MaintenanceDuration_ID!$A$2:$B$5,2,FALSE)</f>
        <v>#N/A</v>
      </c>
      <c r="G27" s="1" t="e">
        <f>VLOOKUP(V27,[1]ExpectedDeliveryTime_ID!$A$2:$B$12,2,FALSE)</f>
        <v>#N/A</v>
      </c>
      <c r="H27" s="1" t="e">
        <f>VLOOKUP(AC27,[1]PaymentModel_ID!$A$2:$B$7,2,FALSE)</f>
        <v>#N/A</v>
      </c>
      <c r="I27" s="1" t="e">
        <f>VLOOKUP(W27,[1]ExpectedInvoiceDate_ID!$A$2:$B$12,2,FALSE)</f>
        <v>#N/A</v>
      </c>
      <c r="J27" s="1" t="e">
        <f>VLOOKUP(X27,[1]GrantOfRights_ID!$A$2:$B$7,2,FALSE)</f>
        <v>#N/A</v>
      </c>
      <c r="K27" s="1" t="str">
        <f>VLOOKUP(AE27,[1]Profile!$A$2:$B$8,2,FALSE)</f>
        <v>License</v>
      </c>
      <c r="M27" s="1" t="str">
        <f>VLOOKUP(Y27,[1]License_Method_ID!$A$2:$B$13,2,FALSE)</f>
        <v>no technical license protection</v>
      </c>
      <c r="O27" s="1">
        <v>10</v>
      </c>
      <c r="P27" s="1">
        <v>50</v>
      </c>
      <c r="Q27" s="1" t="str">
        <f>VLOOKUP(AB27,[1]Operational_Profit_Type_ID!$A$2:$B$3,2,FALSE)</f>
        <v>Fix rate</v>
      </c>
      <c r="R27" s="1" t="s">
        <v>55</v>
      </c>
      <c r="T27" s="1" t="str">
        <f>VLOOKUP(AD27,[1]UpdateRightID!$A$2:$B$4,2,FALSE)</f>
        <v>none</v>
      </c>
      <c r="U27" s="1" t="s">
        <v>48</v>
      </c>
      <c r="Y27" s="1">
        <v>0</v>
      </c>
      <c r="AB27" s="1">
        <v>1</v>
      </c>
      <c r="AD27" s="1">
        <v>0</v>
      </c>
      <c r="AE27" s="1">
        <v>1</v>
      </c>
    </row>
    <row r="28" spans="1:31" ht="330">
      <c r="A28" s="1" t="s">
        <v>43</v>
      </c>
      <c r="B28" s="1" t="s">
        <v>101</v>
      </c>
      <c r="C28" t="s">
        <v>102</v>
      </c>
      <c r="D28" s="1" t="s">
        <v>103</v>
      </c>
      <c r="E28" s="1" t="str">
        <f>VLOOKUP(Z28,[1]LicenseDuration_ID!$A$2:$B$8,2,FALSE)</f>
        <v>perpetual</v>
      </c>
      <c r="F28" s="1" t="str">
        <f>VLOOKUP(AA28,[1]MaintenanceDuration_ID!$A$2:$B$5,2,FALSE)</f>
        <v>12 months</v>
      </c>
      <c r="G28" s="1" t="str">
        <f>VLOOKUP(V28,[1]ExpectedDeliveryTime_ID!$A$2:$B$12,2,FALSE)</f>
        <v>FINALIZED PURCHASE PROCESS + 2 weeks</v>
      </c>
      <c r="H28" s="1" t="str">
        <f>VLOOKUP(AC28,[1]PaymentModel_ID!$A$2:$B$7,2,FALSE)</f>
        <v>One-time payment</v>
      </c>
      <c r="I28" s="1" t="str">
        <f>VLOOKUP(W28,[1]ExpectedInvoiceDate_ID!$A$2:$B$12,2,FALSE)</f>
        <v>With FINAL DELIVERY</v>
      </c>
      <c r="J28" s="1" t="str">
        <f>VLOOKUP(X28,[1]GrantOfRights_ID!$A$2:$B$7,2,FALSE)</f>
        <v>Reproduction and Distribution License</v>
      </c>
      <c r="K28" s="1" t="str">
        <f>VLOOKUP(AE28,[1]Profile!$A$2:$B$8,2,FALSE)</f>
        <v>License</v>
      </c>
      <c r="M28" s="1" t="str">
        <f>VLOOKUP(Y28,[1]License_Method_ID!$A$2:$B$13,2,FALSE)</f>
        <v>no technical license protection</v>
      </c>
      <c r="N28" s="1" t="s">
        <v>47</v>
      </c>
      <c r="O28" s="1">
        <v>10</v>
      </c>
      <c r="P28" s="1">
        <v>50</v>
      </c>
      <c r="Q28" s="1" t="str">
        <f>VLOOKUP(AB28,[1]Operational_Profit_Type_ID!$A$2:$B$3,2,FALSE)</f>
        <v>Fix rate</v>
      </c>
      <c r="R28" s="1" t="s">
        <v>48</v>
      </c>
      <c r="T28" s="1" t="str">
        <f>VLOOKUP(AD28,[1]UpdateRightID!$A$2:$B$4,2,FALSE)</f>
        <v>UpdateRightByConfiguration</v>
      </c>
      <c r="U28" s="1" t="s">
        <v>48</v>
      </c>
      <c r="V28" s="1">
        <v>2</v>
      </c>
      <c r="W28" s="1">
        <v>7</v>
      </c>
      <c r="X28" s="1">
        <v>5</v>
      </c>
      <c r="Y28" s="1">
        <v>0</v>
      </c>
      <c r="Z28" s="1">
        <v>6</v>
      </c>
      <c r="AA28" s="1">
        <v>3</v>
      </c>
      <c r="AB28" s="1">
        <v>1</v>
      </c>
      <c r="AC28" s="1">
        <v>2</v>
      </c>
      <c r="AD28" s="1">
        <v>1</v>
      </c>
      <c r="AE28" s="1">
        <v>1</v>
      </c>
    </row>
    <row r="29" spans="1:31" ht="165">
      <c r="A29" s="1" t="s">
        <v>43</v>
      </c>
      <c r="B29" s="1" t="s">
        <v>104</v>
      </c>
      <c r="C29" t="s">
        <v>105</v>
      </c>
      <c r="D29" s="1" t="s">
        <v>106</v>
      </c>
      <c r="E29" s="1" t="str">
        <f>VLOOKUP(Z29,[1]LicenseDuration_ID!$A$2:$B$8,2,FALSE)</f>
        <v>n/a</v>
      </c>
      <c r="F29" s="1" t="str">
        <f>VLOOKUP(AA29,[1]MaintenanceDuration_ID!$A$2:$B$5,2,FALSE)</f>
        <v>12 months</v>
      </c>
      <c r="G29" s="1" t="str">
        <f>VLOOKUP(V29,[1]ExpectedDeliveryTime_ID!$A$2:$B$12,2,FALSE)</f>
        <v>n/a</v>
      </c>
      <c r="H29" s="1" t="str">
        <f>VLOOKUP(AC29,[1]PaymentModel_ID!$A$2:$B$7,2,FALSE)</f>
        <v>Annual payment</v>
      </c>
      <c r="I29" s="1" t="str">
        <f>VLOOKUP(W29,[1]ExpectedInvoiceDate_ID!$A$2:$B$12,2,FALSE)</f>
        <v>Anually at the beginning of the extended period</v>
      </c>
      <c r="J29" s="1" t="str">
        <f>VLOOKUP(X29,[1]GrantOfRights_ID!$A$2:$B$7,2,FALSE)</f>
        <v>n/a</v>
      </c>
      <c r="K29" s="1" t="str">
        <f>VLOOKUP(AE29,[1]Profile!$A$2:$B$8,2,FALSE)</f>
        <v>License</v>
      </c>
      <c r="M29" s="1" t="str">
        <f>VLOOKUP(Y29,[1]License_Method_ID!$A$2:$B$13,2,FALSE)</f>
        <v>no technical license protection</v>
      </c>
      <c r="N29" s="1" t="s">
        <v>47</v>
      </c>
      <c r="O29" s="1">
        <v>10</v>
      </c>
      <c r="P29" s="1">
        <v>50</v>
      </c>
      <c r="Q29" s="1" t="str">
        <f>VLOOKUP(AB29,[1]Operational_Profit_Type_ID!$A$2:$B$3,2,FALSE)</f>
        <v>Fix rate</v>
      </c>
      <c r="R29" s="1" t="s">
        <v>55</v>
      </c>
      <c r="T29" s="1" t="str">
        <f>VLOOKUP(AD29,[1]UpdateRightID!$A$2:$B$4,2,FALSE)</f>
        <v>TotalAmountAsUpdateRight</v>
      </c>
      <c r="U29" s="1" t="s">
        <v>48</v>
      </c>
      <c r="V29" s="1">
        <v>1</v>
      </c>
      <c r="W29" s="1">
        <v>2</v>
      </c>
      <c r="X29" s="1">
        <v>1</v>
      </c>
      <c r="Y29" s="1">
        <v>0</v>
      </c>
      <c r="Z29" s="1">
        <v>1</v>
      </c>
      <c r="AA29" s="1">
        <v>3</v>
      </c>
      <c r="AB29" s="1">
        <v>1</v>
      </c>
      <c r="AC29" s="1">
        <v>3</v>
      </c>
      <c r="AD29" s="1">
        <v>2</v>
      </c>
      <c r="AE29" s="1">
        <v>1</v>
      </c>
    </row>
    <row r="30" spans="1:31" ht="60">
      <c r="B30" s="1" t="s">
        <v>107</v>
      </c>
      <c r="C30" t="s">
        <v>108</v>
      </c>
      <c r="D30" s="1" t="s">
        <v>109</v>
      </c>
      <c r="E30" s="1" t="e">
        <f>VLOOKUP(Z30,[1]LicenseDuration_ID!$A$2:$B$8,2,FALSE)</f>
        <v>#N/A</v>
      </c>
      <c r="F30" s="1" t="e">
        <f>VLOOKUP(AA30,[1]MaintenanceDuration_ID!$A$2:$B$5,2,FALSE)</f>
        <v>#N/A</v>
      </c>
      <c r="G30" s="1" t="e">
        <f>VLOOKUP(V30,[1]ExpectedDeliveryTime_ID!$A$2:$B$12,2,FALSE)</f>
        <v>#N/A</v>
      </c>
      <c r="H30" s="1" t="e">
        <f>VLOOKUP(AC30,[1]PaymentModel_ID!$A$2:$B$7,2,FALSE)</f>
        <v>#N/A</v>
      </c>
      <c r="I30" s="1" t="e">
        <f>VLOOKUP(W30,[1]ExpectedInvoiceDate_ID!$A$2:$B$12,2,FALSE)</f>
        <v>#N/A</v>
      </c>
      <c r="J30" s="1" t="e">
        <f>VLOOKUP(X30,[1]GrantOfRights_ID!$A$2:$B$7,2,FALSE)</f>
        <v>#N/A</v>
      </c>
      <c r="K30" s="1" t="str">
        <f>VLOOKUP(AE30,[1]Profile!$A$2:$B$8,2,FALSE)</f>
        <v>License</v>
      </c>
      <c r="M30" s="1" t="str">
        <f>VLOOKUP(Y30,[1]License_Method_ID!$A$2:$B$13,2,FALSE)</f>
        <v>no technical license protection</v>
      </c>
      <c r="O30" s="1">
        <v>10</v>
      </c>
      <c r="P30" s="1">
        <v>50</v>
      </c>
      <c r="Q30" s="1" t="str">
        <f>VLOOKUP(AB30,[1]Operational_Profit_Type_ID!$A$2:$B$3,2,FALSE)</f>
        <v>Fix rate</v>
      </c>
      <c r="R30" s="1" t="s">
        <v>55</v>
      </c>
      <c r="T30" s="1" t="str">
        <f>VLOOKUP(AD30,[1]UpdateRightID!$A$2:$B$4,2,FALSE)</f>
        <v>none</v>
      </c>
      <c r="U30" s="1" t="s">
        <v>48</v>
      </c>
      <c r="Y30" s="1">
        <v>0</v>
      </c>
      <c r="AB30" s="1">
        <v>1</v>
      </c>
      <c r="AD30" s="1">
        <v>0</v>
      </c>
      <c r="AE30" s="1">
        <v>1</v>
      </c>
    </row>
    <row r="31" spans="1:31" ht="30">
      <c r="B31" s="1" t="s">
        <v>110</v>
      </c>
      <c r="C31" t="s">
        <v>111</v>
      </c>
      <c r="D31" s="1" t="s">
        <v>112</v>
      </c>
      <c r="E31" s="1" t="e">
        <f>VLOOKUP(Z31,[1]LicenseDuration_ID!$A$2:$B$8,2,FALSE)</f>
        <v>#N/A</v>
      </c>
      <c r="F31" s="1" t="e">
        <f>VLOOKUP(AA31,[1]MaintenanceDuration_ID!$A$2:$B$5,2,FALSE)</f>
        <v>#N/A</v>
      </c>
      <c r="G31" s="1" t="e">
        <f>VLOOKUP(V31,[1]ExpectedDeliveryTime_ID!$A$2:$B$12,2,FALSE)</f>
        <v>#N/A</v>
      </c>
      <c r="H31" s="1" t="e">
        <f>VLOOKUP(AC31,[1]PaymentModel_ID!$A$2:$B$7,2,FALSE)</f>
        <v>#N/A</v>
      </c>
      <c r="I31" s="1" t="e">
        <f>VLOOKUP(W31,[1]ExpectedInvoiceDate_ID!$A$2:$B$12,2,FALSE)</f>
        <v>#N/A</v>
      </c>
      <c r="J31" s="1" t="e">
        <f>VLOOKUP(X31,[1]GrantOfRights_ID!$A$2:$B$7,2,FALSE)</f>
        <v>#N/A</v>
      </c>
      <c r="K31" s="1" t="str">
        <f>VLOOKUP(AE31,[1]Profile!$A$2:$B$8,2,FALSE)</f>
        <v>License</v>
      </c>
      <c r="M31" s="1" t="str">
        <f>VLOOKUP(Y31,[1]License_Method_ID!$A$2:$B$13,2,FALSE)</f>
        <v>no technical license protection</v>
      </c>
      <c r="O31" s="1">
        <v>10</v>
      </c>
      <c r="P31" s="1">
        <v>50</v>
      </c>
      <c r="Q31" s="1" t="str">
        <f>VLOOKUP(AB31,[1]Operational_Profit_Type_ID!$A$2:$B$3,2,FALSE)</f>
        <v>Fix rate</v>
      </c>
      <c r="R31" s="1" t="s">
        <v>55</v>
      </c>
      <c r="T31" s="1" t="str">
        <f>VLOOKUP(AD31,[1]UpdateRightID!$A$2:$B$4,2,FALSE)</f>
        <v>none</v>
      </c>
      <c r="U31" s="1" t="s">
        <v>48</v>
      </c>
      <c r="Y31" s="1">
        <v>0</v>
      </c>
      <c r="AB31" s="1">
        <v>1</v>
      </c>
      <c r="AD31" s="1">
        <v>0</v>
      </c>
      <c r="AE31" s="1">
        <v>1</v>
      </c>
    </row>
    <row r="32" spans="1:31" ht="75">
      <c r="B32" s="1" t="s">
        <v>113</v>
      </c>
      <c r="C32" t="s">
        <v>114</v>
      </c>
      <c r="D32" s="1" t="s">
        <v>115</v>
      </c>
      <c r="E32" s="1" t="e">
        <f>VLOOKUP(Z32,[1]LicenseDuration_ID!$A$2:$B$8,2,FALSE)</f>
        <v>#N/A</v>
      </c>
      <c r="F32" s="1" t="e">
        <f>VLOOKUP(AA32,[1]MaintenanceDuration_ID!$A$2:$B$5,2,FALSE)</f>
        <v>#N/A</v>
      </c>
      <c r="G32" s="1" t="e">
        <f>VLOOKUP(V32,[1]ExpectedDeliveryTime_ID!$A$2:$B$12,2,FALSE)</f>
        <v>#N/A</v>
      </c>
      <c r="H32" s="1" t="e">
        <f>VLOOKUP(AC32,[1]PaymentModel_ID!$A$2:$B$7,2,FALSE)</f>
        <v>#N/A</v>
      </c>
      <c r="I32" s="1" t="e">
        <f>VLOOKUP(W32,[1]ExpectedInvoiceDate_ID!$A$2:$B$12,2,FALSE)</f>
        <v>#N/A</v>
      </c>
      <c r="J32" s="1" t="e">
        <f>VLOOKUP(X32,[1]GrantOfRights_ID!$A$2:$B$7,2,FALSE)</f>
        <v>#N/A</v>
      </c>
      <c r="K32" s="1" t="str">
        <f>VLOOKUP(AE32,[1]Profile!$A$2:$B$8,2,FALSE)</f>
        <v>License</v>
      </c>
      <c r="M32" s="1" t="str">
        <f>VLOOKUP(Y32,[1]License_Method_ID!$A$2:$B$13,2,FALSE)</f>
        <v>no technical license protection</v>
      </c>
      <c r="O32" s="1">
        <v>10</v>
      </c>
      <c r="P32" s="1">
        <v>50</v>
      </c>
      <c r="Q32" s="1" t="str">
        <f>VLOOKUP(AB32,[1]Operational_Profit_Type_ID!$A$2:$B$3,2,FALSE)</f>
        <v>Fix rate</v>
      </c>
      <c r="R32" s="1" t="s">
        <v>55</v>
      </c>
      <c r="T32" s="1" t="str">
        <f>VLOOKUP(AD32,[1]UpdateRightID!$A$2:$B$4,2,FALSE)</f>
        <v>none</v>
      </c>
      <c r="U32" s="1" t="s">
        <v>48</v>
      </c>
      <c r="Y32" s="1">
        <v>0</v>
      </c>
      <c r="AB32" s="1">
        <v>1</v>
      </c>
      <c r="AD32" s="1">
        <v>0</v>
      </c>
      <c r="AE32" s="1">
        <v>1</v>
      </c>
    </row>
    <row r="33" spans="1:31" ht="45">
      <c r="B33" s="1" t="s">
        <v>116</v>
      </c>
      <c r="C33" t="s">
        <v>117</v>
      </c>
      <c r="D33" s="1" t="s">
        <v>118</v>
      </c>
      <c r="E33" s="1" t="e">
        <f>VLOOKUP(Z33,[1]LicenseDuration_ID!$A$2:$B$8,2,FALSE)</f>
        <v>#N/A</v>
      </c>
      <c r="F33" s="1" t="e">
        <f>VLOOKUP(AA33,[1]MaintenanceDuration_ID!$A$2:$B$5,2,FALSE)</f>
        <v>#N/A</v>
      </c>
      <c r="G33" s="1" t="e">
        <f>VLOOKUP(V33,[1]ExpectedDeliveryTime_ID!$A$2:$B$12,2,FALSE)</f>
        <v>#N/A</v>
      </c>
      <c r="H33" s="1" t="e">
        <f>VLOOKUP(AC33,[1]PaymentModel_ID!$A$2:$B$7,2,FALSE)</f>
        <v>#N/A</v>
      </c>
      <c r="I33" s="1" t="e">
        <f>VLOOKUP(W33,[1]ExpectedInvoiceDate_ID!$A$2:$B$12,2,FALSE)</f>
        <v>#N/A</v>
      </c>
      <c r="J33" s="1" t="e">
        <f>VLOOKUP(X33,[1]GrantOfRights_ID!$A$2:$B$7,2,FALSE)</f>
        <v>#N/A</v>
      </c>
      <c r="K33" s="1" t="str">
        <f>VLOOKUP(AE33,[1]Profile!$A$2:$B$8,2,FALSE)</f>
        <v>License</v>
      </c>
      <c r="M33" s="1" t="str">
        <f>VLOOKUP(Y33,[1]License_Method_ID!$A$2:$B$13,2,FALSE)</f>
        <v>FlexNet Publisher Dongle License File</v>
      </c>
      <c r="N33" s="1" t="s">
        <v>47</v>
      </c>
      <c r="O33" s="1">
        <v>10</v>
      </c>
      <c r="P33" s="1">
        <v>50</v>
      </c>
      <c r="Q33" s="1" t="str">
        <f>VLOOKUP(AB33,[1]Operational_Profit_Type_ID!$A$2:$B$3,2,FALSE)</f>
        <v>Fix rate</v>
      </c>
      <c r="R33" s="1" t="s">
        <v>55</v>
      </c>
      <c r="T33" s="1" t="str">
        <f>VLOOKUP(AD33,[1]UpdateRightID!$A$2:$B$4,2,FALSE)</f>
        <v>none</v>
      </c>
      <c r="U33" s="1" t="s">
        <v>48</v>
      </c>
      <c r="Y33" s="1">
        <v>3</v>
      </c>
      <c r="AB33" s="1">
        <v>1</v>
      </c>
      <c r="AD33" s="1">
        <v>0</v>
      </c>
      <c r="AE33" s="1">
        <v>1</v>
      </c>
    </row>
    <row r="34" spans="1:31" ht="150">
      <c r="B34" s="1" t="s">
        <v>119</v>
      </c>
      <c r="C34" t="s">
        <v>120</v>
      </c>
      <c r="D34" s="1" t="s">
        <v>121</v>
      </c>
      <c r="E34" s="1" t="e">
        <f>VLOOKUP(Z34,[1]LicenseDuration_ID!$A$2:$B$8,2,FALSE)</f>
        <v>#N/A</v>
      </c>
      <c r="F34" s="1" t="e">
        <f>VLOOKUP(AA34,[1]MaintenanceDuration_ID!$A$2:$B$5,2,FALSE)</f>
        <v>#N/A</v>
      </c>
      <c r="G34" s="1" t="e">
        <f>VLOOKUP(V34,[1]ExpectedDeliveryTime_ID!$A$2:$B$12,2,FALSE)</f>
        <v>#N/A</v>
      </c>
      <c r="H34" s="1" t="e">
        <f>VLOOKUP(AC34,[1]PaymentModel_ID!$A$2:$B$7,2,FALSE)</f>
        <v>#N/A</v>
      </c>
      <c r="I34" s="1" t="e">
        <f>VLOOKUP(W34,[1]ExpectedInvoiceDate_ID!$A$2:$B$12,2,FALSE)</f>
        <v>#N/A</v>
      </c>
      <c r="J34" s="1" t="e">
        <f>VLOOKUP(X34,[1]GrantOfRights_ID!$A$2:$B$7,2,FALSE)</f>
        <v>#N/A</v>
      </c>
      <c r="K34" s="1" t="str">
        <f>VLOOKUP(AE34,[1]Profile!$A$2:$B$8,2,FALSE)</f>
        <v>License</v>
      </c>
      <c r="M34" s="1" t="str">
        <f>VLOOKUP(Y34,[1]License_Method_ID!$A$2:$B$13,2,FALSE)</f>
        <v>FlexNet Publisher Server Activation Code</v>
      </c>
      <c r="N34" s="1" t="s">
        <v>47</v>
      </c>
      <c r="O34" s="1">
        <v>10</v>
      </c>
      <c r="P34" s="1">
        <v>50</v>
      </c>
      <c r="Q34" s="1" t="str">
        <f>VLOOKUP(AB34,[1]Operational_Profit_Type_ID!$A$2:$B$3,2,FALSE)</f>
        <v>Fix rate</v>
      </c>
      <c r="R34" s="1" t="s">
        <v>55</v>
      </c>
      <c r="T34" s="1" t="str">
        <f>VLOOKUP(AD34,[1]UpdateRightID!$A$2:$B$4,2,FALSE)</f>
        <v>none</v>
      </c>
      <c r="U34" s="1" t="s">
        <v>48</v>
      </c>
      <c r="Y34" s="1">
        <v>2</v>
      </c>
      <c r="AB34" s="1">
        <v>1</v>
      </c>
      <c r="AD34" s="1">
        <v>0</v>
      </c>
      <c r="AE34" s="1">
        <v>1</v>
      </c>
    </row>
    <row r="35" spans="1:31" ht="45">
      <c r="B35" s="1" t="s">
        <v>122</v>
      </c>
      <c r="C35" t="s">
        <v>123</v>
      </c>
      <c r="D35" s="1" t="s">
        <v>124</v>
      </c>
      <c r="E35" s="1" t="e">
        <f>VLOOKUP(Z35,[1]LicenseDuration_ID!$A$2:$B$8,2,FALSE)</f>
        <v>#N/A</v>
      </c>
      <c r="F35" s="1" t="e">
        <f>VLOOKUP(AA35,[1]MaintenanceDuration_ID!$A$2:$B$5,2,FALSE)</f>
        <v>#N/A</v>
      </c>
      <c r="G35" s="1" t="e">
        <f>VLOOKUP(V35,[1]ExpectedDeliveryTime_ID!$A$2:$B$12,2,FALSE)</f>
        <v>#N/A</v>
      </c>
      <c r="H35" s="1" t="e">
        <f>VLOOKUP(AC35,[1]PaymentModel_ID!$A$2:$B$7,2,FALSE)</f>
        <v>#N/A</v>
      </c>
      <c r="I35" s="1" t="e">
        <f>VLOOKUP(W35,[1]ExpectedInvoiceDate_ID!$A$2:$B$12,2,FALSE)</f>
        <v>#N/A</v>
      </c>
      <c r="J35" s="1" t="e">
        <f>VLOOKUP(X35,[1]GrantOfRights_ID!$A$2:$B$7,2,FALSE)</f>
        <v>#N/A</v>
      </c>
      <c r="K35" s="1" t="str">
        <f>VLOOKUP(AE35,[1]Profile!$A$2:$B$8,2,FALSE)</f>
        <v>License</v>
      </c>
      <c r="M35" s="1" t="str">
        <f>VLOOKUP(Y35,[1]License_Method_ID!$A$2:$B$13,2,FALSE)</f>
        <v>FlexNet Publisher Dongle License File</v>
      </c>
      <c r="O35" s="1">
        <v>10</v>
      </c>
      <c r="P35" s="1">
        <v>50</v>
      </c>
      <c r="Q35" s="1" t="str">
        <f>VLOOKUP(AB35,[1]Operational_Profit_Type_ID!$A$2:$B$3,2,FALSE)</f>
        <v>Fix rate</v>
      </c>
      <c r="R35" s="1" t="s">
        <v>55</v>
      </c>
      <c r="T35" s="1" t="str">
        <f>VLOOKUP(AD35,[1]UpdateRightID!$A$2:$B$4,2,FALSE)</f>
        <v>none</v>
      </c>
      <c r="U35" s="1" t="s">
        <v>48</v>
      </c>
      <c r="Y35" s="1">
        <v>3</v>
      </c>
      <c r="AB35" s="1">
        <v>1</v>
      </c>
      <c r="AD35" s="1">
        <v>0</v>
      </c>
      <c r="AE35" s="1">
        <v>1</v>
      </c>
    </row>
    <row r="36" spans="1:31" ht="105">
      <c r="A36" s="1" t="s">
        <v>43</v>
      </c>
      <c r="B36" s="1" t="s">
        <v>125</v>
      </c>
      <c r="C36" t="s">
        <v>126</v>
      </c>
      <c r="D36" s="9" t="s">
        <v>127</v>
      </c>
      <c r="E36" s="1" t="str">
        <f>VLOOKUP(Z36,[1]LicenseDuration_ID!$A$2:$B$8,2,FALSE)</f>
        <v>12 months</v>
      </c>
      <c r="F36" s="1" t="str">
        <f>VLOOKUP(AA36,[1]MaintenanceDuration_ID!$A$2:$B$5,2,FALSE)</f>
        <v>12 months</v>
      </c>
      <c r="G36" s="1" t="str">
        <f>VLOOKUP(V36,[1]ExpectedDeliveryTime_ID!$A$2:$B$12,2,FALSE)</f>
        <v>FINALIZED PURCHASE PROCESS + 2 weeks</v>
      </c>
      <c r="H36" s="1" t="str">
        <f>VLOOKUP(AC36,[1]PaymentModel_ID!$A$2:$B$7,2,FALSE)</f>
        <v>One-time payment</v>
      </c>
      <c r="I36" s="1" t="str">
        <f>VLOOKUP(W36,[1]ExpectedInvoiceDate_ID!$A$2:$B$12,2,FALSE)</f>
        <v>With FINAL DELIVERY</v>
      </c>
      <c r="J36" s="1" t="str">
        <f>VLOOKUP(X36,[1]GrantOfRights_ID!$A$2:$B$7,2,FALSE)</f>
        <v>n/a</v>
      </c>
      <c r="K36" s="1" t="str">
        <f>VLOOKUP(AE36,[1]Profile!$A$2:$B$8,2,FALSE)</f>
        <v>License</v>
      </c>
      <c r="M36" s="1" t="str">
        <f>VLOOKUP(Y36,[1]License_Method_ID!$A$2:$B$13,2,FALSE)</f>
        <v>FlexNet Publisher Application Activation Code</v>
      </c>
      <c r="N36" s="1" t="s">
        <v>47</v>
      </c>
      <c r="O36" s="1">
        <v>10</v>
      </c>
      <c r="P36" s="1">
        <v>50</v>
      </c>
      <c r="Q36" s="1" t="str">
        <f>VLOOKUP(AB36,[1]Operational_Profit_Type_ID!$A$2:$B$3,2,FALSE)</f>
        <v>Fix rate</v>
      </c>
      <c r="R36" s="1" t="s">
        <v>55</v>
      </c>
      <c r="T36" s="1" t="str">
        <f>VLOOKUP(AD36,[1]UpdateRightID!$A$2:$B$4,2,FALSE)</f>
        <v>UpdateRightByConfiguration</v>
      </c>
      <c r="U36" s="1" t="s">
        <v>48</v>
      </c>
      <c r="V36" s="1">
        <v>2</v>
      </c>
      <c r="W36" s="1">
        <v>7</v>
      </c>
      <c r="X36" s="1">
        <v>1</v>
      </c>
      <c r="Y36" s="1">
        <v>1</v>
      </c>
      <c r="Z36" s="1">
        <v>4</v>
      </c>
      <c r="AA36" s="1">
        <v>3</v>
      </c>
      <c r="AB36" s="1">
        <v>1</v>
      </c>
      <c r="AC36" s="1">
        <v>2</v>
      </c>
      <c r="AD36" s="1">
        <v>1</v>
      </c>
      <c r="AE36" s="1">
        <v>1</v>
      </c>
    </row>
    <row r="37" spans="1:31" ht="30">
      <c r="B37" s="1" t="s">
        <v>128</v>
      </c>
      <c r="C37" t="s">
        <v>129</v>
      </c>
      <c r="D37" s="1" t="s">
        <v>130</v>
      </c>
      <c r="E37" s="1" t="e">
        <f>VLOOKUP(Z37,[1]LicenseDuration_ID!$A$2:$B$8,2,FALSE)</f>
        <v>#N/A</v>
      </c>
      <c r="F37" s="1" t="e">
        <f>VLOOKUP(AA37,[1]MaintenanceDuration_ID!$A$2:$B$5,2,FALSE)</f>
        <v>#N/A</v>
      </c>
      <c r="G37" s="1" t="e">
        <f>VLOOKUP(V37,[1]ExpectedDeliveryTime_ID!$A$2:$B$12,2,FALSE)</f>
        <v>#N/A</v>
      </c>
      <c r="H37" s="1" t="e">
        <f>VLOOKUP(AC37,[1]PaymentModel_ID!$A$2:$B$7,2,FALSE)</f>
        <v>#N/A</v>
      </c>
      <c r="I37" s="1" t="e">
        <f>VLOOKUP(W37,[1]ExpectedInvoiceDate_ID!$A$2:$B$12,2,FALSE)</f>
        <v>#N/A</v>
      </c>
      <c r="J37" s="1" t="e">
        <f>VLOOKUP(X37,[1]GrantOfRights_ID!$A$2:$B$7,2,FALSE)</f>
        <v>#N/A</v>
      </c>
      <c r="K37" s="1" t="str">
        <f>VLOOKUP(AE37,[1]Profile!$A$2:$B$8,2,FALSE)</f>
        <v>License</v>
      </c>
      <c r="M37" s="1" t="str">
        <f>VLOOKUP(Y37,[1]License_Method_ID!$A$2:$B$13,2,FALSE)</f>
        <v>no technical license protection</v>
      </c>
      <c r="O37" s="1">
        <v>10</v>
      </c>
      <c r="P37" s="1">
        <v>50</v>
      </c>
      <c r="Q37" s="1" t="str">
        <f>VLOOKUP(AB37,[1]Operational_Profit_Type_ID!$A$2:$B$3,2,FALSE)</f>
        <v>Fix rate</v>
      </c>
      <c r="R37" s="1" t="s">
        <v>55</v>
      </c>
      <c r="T37" s="1" t="str">
        <f>VLOOKUP(AD37,[1]UpdateRightID!$A$2:$B$4,2,FALSE)</f>
        <v>none</v>
      </c>
      <c r="U37" s="1" t="s">
        <v>48</v>
      </c>
      <c r="Y37" s="1">
        <v>0</v>
      </c>
      <c r="AB37" s="1">
        <v>1</v>
      </c>
      <c r="AD37" s="1">
        <v>0</v>
      </c>
      <c r="AE37" s="1">
        <v>1</v>
      </c>
    </row>
    <row r="38" spans="1:31" ht="165">
      <c r="B38" s="1" t="s">
        <v>131</v>
      </c>
      <c r="C38" t="s">
        <v>132</v>
      </c>
      <c r="D38" s="1" t="s">
        <v>133</v>
      </c>
      <c r="E38" s="1" t="e">
        <f>VLOOKUP(Z38,[1]LicenseDuration_ID!$A$2:$B$8,2,FALSE)</f>
        <v>#N/A</v>
      </c>
      <c r="F38" s="1" t="e">
        <f>VLOOKUP(AA38,[1]MaintenanceDuration_ID!$A$2:$B$5,2,FALSE)</f>
        <v>#N/A</v>
      </c>
      <c r="G38" s="1" t="e">
        <f>VLOOKUP(V38,[1]ExpectedDeliveryTime_ID!$A$2:$B$12,2,FALSE)</f>
        <v>#N/A</v>
      </c>
      <c r="H38" s="1" t="e">
        <f>VLOOKUP(AC38,[1]PaymentModel_ID!$A$2:$B$7,2,FALSE)</f>
        <v>#N/A</v>
      </c>
      <c r="I38" s="1" t="e">
        <f>VLOOKUP(W38,[1]ExpectedInvoiceDate_ID!$A$2:$B$12,2,FALSE)</f>
        <v>#N/A</v>
      </c>
      <c r="J38" s="1" t="e">
        <f>VLOOKUP(X38,[1]GrantOfRights_ID!$A$2:$B$7,2,FALSE)</f>
        <v>#N/A</v>
      </c>
      <c r="K38" s="1" t="str">
        <f>VLOOKUP(AE38,[1]Profile!$A$2:$B$8,2,FALSE)</f>
        <v>License</v>
      </c>
      <c r="M38" s="1" t="str">
        <f>VLOOKUP(Y38,[1]License_Method_ID!$A$2:$B$13,2,FALSE)</f>
        <v>FlexNet Publisher Dongle License File</v>
      </c>
      <c r="O38" s="1">
        <v>10</v>
      </c>
      <c r="P38" s="1">
        <v>50</v>
      </c>
      <c r="Q38" s="1" t="str">
        <f>VLOOKUP(AB38,[1]Operational_Profit_Type_ID!$A$2:$B$3,2,FALSE)</f>
        <v>Fix rate</v>
      </c>
      <c r="R38" s="1" t="s">
        <v>55</v>
      </c>
      <c r="T38" s="1" t="str">
        <f>VLOOKUP(AD38,[1]UpdateRightID!$A$2:$B$4,2,FALSE)</f>
        <v>none</v>
      </c>
      <c r="U38" s="1" t="s">
        <v>48</v>
      </c>
      <c r="Y38" s="1">
        <v>3</v>
      </c>
      <c r="AB38" s="1">
        <v>1</v>
      </c>
      <c r="AD38" s="1">
        <v>0</v>
      </c>
      <c r="AE38" s="1">
        <v>1</v>
      </c>
    </row>
    <row r="39" spans="1:31" ht="45">
      <c r="B39" s="1" t="s">
        <v>134</v>
      </c>
      <c r="C39" t="s">
        <v>135</v>
      </c>
      <c r="D39" s="1" t="s">
        <v>136</v>
      </c>
      <c r="E39" s="1" t="e">
        <f>VLOOKUP(Z39,[1]LicenseDuration_ID!$A$2:$B$8,2,FALSE)</f>
        <v>#N/A</v>
      </c>
      <c r="F39" s="1" t="e">
        <f>VLOOKUP(AA39,[1]MaintenanceDuration_ID!$A$2:$B$5,2,FALSE)</f>
        <v>#N/A</v>
      </c>
      <c r="G39" s="1" t="e">
        <f>VLOOKUP(V39,[1]ExpectedDeliveryTime_ID!$A$2:$B$12,2,FALSE)</f>
        <v>#N/A</v>
      </c>
      <c r="H39" s="1" t="e">
        <f>VLOOKUP(AC39,[1]PaymentModel_ID!$A$2:$B$7,2,FALSE)</f>
        <v>#N/A</v>
      </c>
      <c r="I39" s="1" t="e">
        <f>VLOOKUP(W39,[1]ExpectedInvoiceDate_ID!$A$2:$B$12,2,FALSE)</f>
        <v>#N/A</v>
      </c>
      <c r="J39" s="1" t="e">
        <f>VLOOKUP(X39,[1]GrantOfRights_ID!$A$2:$B$7,2,FALSE)</f>
        <v>#N/A</v>
      </c>
      <c r="K39" s="1" t="str">
        <f>VLOOKUP(AE39,[1]Profile!$A$2:$B$8,2,FALSE)</f>
        <v>License</v>
      </c>
      <c r="M39" s="1" t="str">
        <f>VLOOKUP(Y39,[1]License_Method_ID!$A$2:$B$13,2,FALSE)</f>
        <v>no technical license protection</v>
      </c>
      <c r="O39" s="1">
        <v>10</v>
      </c>
      <c r="P39" s="1">
        <v>50</v>
      </c>
      <c r="Q39" s="1" t="str">
        <f>VLOOKUP(AB39,[1]Operational_Profit_Type_ID!$A$2:$B$3,2,FALSE)</f>
        <v>Fix rate</v>
      </c>
      <c r="R39" s="1" t="s">
        <v>55</v>
      </c>
      <c r="T39" s="1" t="str">
        <f>VLOOKUP(AD39,[1]UpdateRightID!$A$2:$B$4,2,FALSE)</f>
        <v>none</v>
      </c>
      <c r="U39" s="1" t="s">
        <v>48</v>
      </c>
      <c r="Y39" s="1">
        <v>0</v>
      </c>
      <c r="AB39" s="1">
        <v>1</v>
      </c>
      <c r="AD39" s="1">
        <v>0</v>
      </c>
      <c r="AE39" s="1">
        <v>1</v>
      </c>
    </row>
    <row r="40" spans="1:31" ht="45">
      <c r="B40" s="1" t="s">
        <v>137</v>
      </c>
      <c r="C40" t="s">
        <v>138</v>
      </c>
      <c r="D40" s="1" t="s">
        <v>139</v>
      </c>
      <c r="E40" s="1" t="e">
        <f>VLOOKUP(Z40,[1]LicenseDuration_ID!$A$2:$B$8,2,FALSE)</f>
        <v>#N/A</v>
      </c>
      <c r="F40" s="1" t="e">
        <f>VLOOKUP(AA40,[1]MaintenanceDuration_ID!$A$2:$B$5,2,FALSE)</f>
        <v>#N/A</v>
      </c>
      <c r="G40" s="1" t="e">
        <f>VLOOKUP(V40,[1]ExpectedDeliveryTime_ID!$A$2:$B$12,2,FALSE)</f>
        <v>#N/A</v>
      </c>
      <c r="H40" s="1" t="e">
        <f>VLOOKUP(AC40,[1]PaymentModel_ID!$A$2:$B$7,2,FALSE)</f>
        <v>#N/A</v>
      </c>
      <c r="I40" s="1" t="e">
        <f>VLOOKUP(W40,[1]ExpectedInvoiceDate_ID!$A$2:$B$12,2,FALSE)</f>
        <v>#N/A</v>
      </c>
      <c r="J40" s="1" t="e">
        <f>VLOOKUP(X40,[1]GrantOfRights_ID!$A$2:$B$7,2,FALSE)</f>
        <v>#N/A</v>
      </c>
      <c r="K40" s="1" t="str">
        <f>VLOOKUP(AE40,[1]Profile!$A$2:$B$8,2,FALSE)</f>
        <v>License</v>
      </c>
      <c r="M40" s="1" t="str">
        <f>VLOOKUP(Y40,[1]License_Method_ID!$A$2:$B$13,2,FALSE)</f>
        <v>no technical license protection</v>
      </c>
      <c r="N40" s="1" t="s">
        <v>47</v>
      </c>
      <c r="O40" s="1">
        <v>10</v>
      </c>
      <c r="P40" s="1">
        <v>50</v>
      </c>
      <c r="Q40" s="1" t="str">
        <f>VLOOKUP(AB40,[1]Operational_Profit_Type_ID!$A$2:$B$3,2,FALSE)</f>
        <v>Fix rate</v>
      </c>
      <c r="R40" s="1" t="s">
        <v>48</v>
      </c>
      <c r="T40" s="1" t="str">
        <f>VLOOKUP(AD40,[1]UpdateRightID!$A$2:$B$4,2,FALSE)</f>
        <v>none</v>
      </c>
      <c r="U40" s="1" t="s">
        <v>48</v>
      </c>
      <c r="Y40" s="1">
        <v>0</v>
      </c>
      <c r="AB40" s="1">
        <v>1</v>
      </c>
      <c r="AD40" s="1">
        <v>0</v>
      </c>
      <c r="AE40" s="1">
        <v>1</v>
      </c>
    </row>
    <row r="41" spans="1:31" ht="150">
      <c r="B41" s="1" t="s">
        <v>140</v>
      </c>
      <c r="C41" t="s">
        <v>141</v>
      </c>
      <c r="D41" s="1" t="s">
        <v>142</v>
      </c>
      <c r="E41" s="1" t="e">
        <f>VLOOKUP(Z41,[1]LicenseDuration_ID!$A$2:$B$8,2,FALSE)</f>
        <v>#N/A</v>
      </c>
      <c r="F41" s="1" t="e">
        <f>VLOOKUP(AA41,[1]MaintenanceDuration_ID!$A$2:$B$5,2,FALSE)</f>
        <v>#N/A</v>
      </c>
      <c r="G41" s="1" t="e">
        <f>VLOOKUP(V41,[1]ExpectedDeliveryTime_ID!$A$2:$B$12,2,FALSE)</f>
        <v>#N/A</v>
      </c>
      <c r="H41" s="1" t="e">
        <f>VLOOKUP(AC41,[1]PaymentModel_ID!$A$2:$B$7,2,FALSE)</f>
        <v>#N/A</v>
      </c>
      <c r="I41" s="1" t="e">
        <f>VLOOKUP(W41,[1]ExpectedInvoiceDate_ID!$A$2:$B$12,2,FALSE)</f>
        <v>#N/A</v>
      </c>
      <c r="J41" s="1" t="e">
        <f>VLOOKUP(X41,[1]GrantOfRights_ID!$A$2:$B$7,2,FALSE)</f>
        <v>#N/A</v>
      </c>
      <c r="K41" s="1" t="str">
        <f>VLOOKUP(AE41,[1]Profile!$A$2:$B$8,2,FALSE)</f>
        <v>License</v>
      </c>
      <c r="M41" s="1" t="str">
        <f>VLOOKUP(Y41,[1]License_Method_ID!$A$2:$B$13,2,FALSE)</f>
        <v>EB GUIDE Dongle License File</v>
      </c>
      <c r="N41" s="1" t="s">
        <v>47</v>
      </c>
      <c r="O41" s="1">
        <v>10</v>
      </c>
      <c r="P41" s="1">
        <v>50</v>
      </c>
      <c r="Q41" s="1" t="str">
        <f>VLOOKUP(AB41,[1]Operational_Profit_Type_ID!$A$2:$B$3,2,FALSE)</f>
        <v>Fix rate</v>
      </c>
      <c r="R41" s="1" t="s">
        <v>48</v>
      </c>
      <c r="S41" s="1">
        <v>10</v>
      </c>
      <c r="T41" s="1" t="str">
        <f>VLOOKUP(AD41,[1]UpdateRightID!$A$2:$B$4,2,FALSE)</f>
        <v>UpdateRightByConfiguration</v>
      </c>
      <c r="U41" s="1" t="s">
        <v>48</v>
      </c>
      <c r="Y41" s="1">
        <v>11</v>
      </c>
      <c r="AB41" s="1">
        <v>1</v>
      </c>
      <c r="AD41" s="1">
        <v>1</v>
      </c>
      <c r="AE41" s="1">
        <v>1</v>
      </c>
    </row>
    <row r="42" spans="1:31" ht="45">
      <c r="B42" s="1" t="s">
        <v>143</v>
      </c>
      <c r="C42" t="s">
        <v>144</v>
      </c>
      <c r="D42" s="1" t="s">
        <v>145</v>
      </c>
      <c r="E42" s="1" t="e">
        <f>VLOOKUP(Z42,[1]LicenseDuration_ID!$A$2:$B$8,2,FALSE)</f>
        <v>#N/A</v>
      </c>
      <c r="F42" s="1" t="e">
        <f>VLOOKUP(AA42,[1]MaintenanceDuration_ID!$A$2:$B$5,2,FALSE)</f>
        <v>#N/A</v>
      </c>
      <c r="G42" s="1" t="e">
        <f>VLOOKUP(V42,[1]ExpectedDeliveryTime_ID!$A$2:$B$12,2,FALSE)</f>
        <v>#N/A</v>
      </c>
      <c r="H42" s="1" t="e">
        <f>VLOOKUP(AC42,[1]PaymentModel_ID!$A$2:$B$7,2,FALSE)</f>
        <v>#N/A</v>
      </c>
      <c r="I42" s="1" t="e">
        <f>VLOOKUP(W42,[1]ExpectedInvoiceDate_ID!$A$2:$B$12,2,FALSE)</f>
        <v>#N/A</v>
      </c>
      <c r="J42" s="1" t="e">
        <f>VLOOKUP(X42,[1]GrantOfRights_ID!$A$2:$B$7,2,FALSE)</f>
        <v>#N/A</v>
      </c>
      <c r="K42" s="1" t="str">
        <f>VLOOKUP(AE42,[1]Profile!$A$2:$B$8,2,FALSE)</f>
        <v>License</v>
      </c>
      <c r="M42" s="1" t="str">
        <f>VLOOKUP(Y42,[1]License_Method_ID!$A$2:$B$13,2,FALSE)</f>
        <v>no technical license protection</v>
      </c>
      <c r="O42" s="1">
        <v>10</v>
      </c>
      <c r="P42" s="1">
        <v>50</v>
      </c>
      <c r="Q42" s="1" t="str">
        <f>VLOOKUP(AB42,[1]Operational_Profit_Type_ID!$A$2:$B$3,2,FALSE)</f>
        <v>Fix rate</v>
      </c>
      <c r="R42" s="1" t="s">
        <v>55</v>
      </c>
      <c r="T42" s="1" t="str">
        <f>VLOOKUP(AD42,[1]UpdateRightID!$A$2:$B$4,2,FALSE)</f>
        <v>none</v>
      </c>
      <c r="U42" s="1" t="s">
        <v>48</v>
      </c>
      <c r="Y42" s="1">
        <v>0</v>
      </c>
      <c r="AB42" s="1">
        <v>1</v>
      </c>
      <c r="AD42" s="1">
        <v>0</v>
      </c>
      <c r="AE42" s="1">
        <v>1</v>
      </c>
    </row>
    <row r="43" spans="1:31" ht="75">
      <c r="B43" s="1" t="s">
        <v>146</v>
      </c>
      <c r="C43" t="s">
        <v>147</v>
      </c>
      <c r="D43" s="1" t="s">
        <v>148</v>
      </c>
      <c r="E43" s="1" t="e">
        <f>VLOOKUP(Z43,[1]LicenseDuration_ID!$A$2:$B$8,2,FALSE)</f>
        <v>#N/A</v>
      </c>
      <c r="F43" s="1" t="e">
        <f>VLOOKUP(AA43,[1]MaintenanceDuration_ID!$A$2:$B$5,2,FALSE)</f>
        <v>#N/A</v>
      </c>
      <c r="G43" s="1" t="e">
        <f>VLOOKUP(V43,[1]ExpectedDeliveryTime_ID!$A$2:$B$12,2,FALSE)</f>
        <v>#N/A</v>
      </c>
      <c r="H43" s="1" t="e">
        <f>VLOOKUP(AC43,[1]PaymentModel_ID!$A$2:$B$7,2,FALSE)</f>
        <v>#N/A</v>
      </c>
      <c r="I43" s="1" t="e">
        <f>VLOOKUP(W43,[1]ExpectedInvoiceDate_ID!$A$2:$B$12,2,FALSE)</f>
        <v>#N/A</v>
      </c>
      <c r="J43" s="1" t="e">
        <f>VLOOKUP(X43,[1]GrantOfRights_ID!$A$2:$B$7,2,FALSE)</f>
        <v>#N/A</v>
      </c>
      <c r="K43" s="1" t="str">
        <f>VLOOKUP(AE43,[1]Profile!$A$2:$B$8,2,FALSE)</f>
        <v>License</v>
      </c>
      <c r="M43" s="1" t="str">
        <f>VLOOKUP(Y43,[1]License_Method_ID!$A$2:$B$13,2,FALSE)</f>
        <v>no technical license protection</v>
      </c>
      <c r="N43" s="1" t="s">
        <v>47</v>
      </c>
      <c r="O43" s="1">
        <v>10</v>
      </c>
      <c r="P43" s="1">
        <v>50</v>
      </c>
      <c r="Q43" s="1" t="str">
        <f>VLOOKUP(AB43,[1]Operational_Profit_Type_ID!$A$2:$B$3,2,FALSE)</f>
        <v>Fix rate</v>
      </c>
      <c r="R43" s="1" t="s">
        <v>48</v>
      </c>
      <c r="T43" s="1" t="str">
        <f>VLOOKUP(AD43,[1]UpdateRightID!$A$2:$B$4,2,FALSE)</f>
        <v>UpdateRightByConfiguration</v>
      </c>
      <c r="U43" s="1" t="s">
        <v>48</v>
      </c>
      <c r="Y43" s="1">
        <v>0</v>
      </c>
      <c r="AB43" s="1">
        <v>1</v>
      </c>
      <c r="AD43" s="1">
        <v>1</v>
      </c>
      <c r="AE43" s="1">
        <v>1</v>
      </c>
    </row>
    <row r="44" spans="1:31" ht="75">
      <c r="B44" s="1" t="s">
        <v>149</v>
      </c>
      <c r="C44" t="s">
        <v>150</v>
      </c>
      <c r="D44" s="1" t="s">
        <v>151</v>
      </c>
      <c r="E44" s="1" t="e">
        <f>VLOOKUP(Z44,[1]LicenseDuration_ID!$A$2:$B$8,2,FALSE)</f>
        <v>#N/A</v>
      </c>
      <c r="F44" s="1" t="e">
        <f>VLOOKUP(AA44,[1]MaintenanceDuration_ID!$A$2:$B$5,2,FALSE)</f>
        <v>#N/A</v>
      </c>
      <c r="G44" s="1" t="e">
        <f>VLOOKUP(V44,[1]ExpectedDeliveryTime_ID!$A$2:$B$12,2,FALSE)</f>
        <v>#N/A</v>
      </c>
      <c r="H44" s="1" t="e">
        <f>VLOOKUP(AC44,[1]PaymentModel_ID!$A$2:$B$7,2,FALSE)</f>
        <v>#N/A</v>
      </c>
      <c r="I44" s="1" t="e">
        <f>VLOOKUP(W44,[1]ExpectedInvoiceDate_ID!$A$2:$B$12,2,FALSE)</f>
        <v>#N/A</v>
      </c>
      <c r="J44" s="1" t="e">
        <f>VLOOKUP(X44,[1]GrantOfRights_ID!$A$2:$B$7,2,FALSE)</f>
        <v>#N/A</v>
      </c>
      <c r="K44" s="1" t="str">
        <f>VLOOKUP(AE44,[1]Profile!$A$2:$B$8,2,FALSE)</f>
        <v>License</v>
      </c>
      <c r="M44" s="1" t="str">
        <f>VLOOKUP(Y44,[1]License_Method_ID!$A$2:$B$13,2,FALSE)</f>
        <v>no technical license protection</v>
      </c>
      <c r="N44" s="1" t="s">
        <v>47</v>
      </c>
      <c r="O44" s="1">
        <v>10</v>
      </c>
      <c r="P44" s="1">
        <v>50</v>
      </c>
      <c r="Q44" s="1" t="str">
        <f>VLOOKUP(AB44,[1]Operational_Profit_Type_ID!$A$2:$B$3,2,FALSE)</f>
        <v>Fix rate</v>
      </c>
      <c r="R44" s="1" t="s">
        <v>48</v>
      </c>
      <c r="T44" s="1" t="str">
        <f>VLOOKUP(AD44,[1]UpdateRightID!$A$2:$B$4,2,FALSE)</f>
        <v>TotalAmountAsUpdateRight</v>
      </c>
      <c r="U44" s="1" t="s">
        <v>48</v>
      </c>
      <c r="Y44" s="1">
        <v>0</v>
      </c>
      <c r="AB44" s="1">
        <v>1</v>
      </c>
      <c r="AD44" s="1">
        <v>2</v>
      </c>
      <c r="AE44" s="1">
        <v>1</v>
      </c>
    </row>
    <row r="45" spans="1:31" ht="90">
      <c r="B45" s="1" t="s">
        <v>152</v>
      </c>
      <c r="C45" t="s">
        <v>153</v>
      </c>
      <c r="D45" s="1" t="s">
        <v>154</v>
      </c>
      <c r="E45" s="1" t="e">
        <f>VLOOKUP(Z45,[1]LicenseDuration_ID!$A$2:$B$8,2,FALSE)</f>
        <v>#N/A</v>
      </c>
      <c r="F45" s="1" t="e">
        <f>VLOOKUP(AA45,[1]MaintenanceDuration_ID!$A$2:$B$5,2,FALSE)</f>
        <v>#N/A</v>
      </c>
      <c r="G45" s="1" t="e">
        <f>VLOOKUP(V45,[1]ExpectedDeliveryTime_ID!$A$2:$B$12,2,FALSE)</f>
        <v>#N/A</v>
      </c>
      <c r="H45" s="1" t="e">
        <f>VLOOKUP(AC45,[1]PaymentModel_ID!$A$2:$B$7,2,FALSE)</f>
        <v>#N/A</v>
      </c>
      <c r="I45" s="1" t="e">
        <f>VLOOKUP(W45,[1]ExpectedInvoiceDate_ID!$A$2:$B$12,2,FALSE)</f>
        <v>#N/A</v>
      </c>
      <c r="J45" s="1" t="e">
        <f>VLOOKUP(X45,[1]GrantOfRights_ID!$A$2:$B$7,2,FALSE)</f>
        <v>#N/A</v>
      </c>
      <c r="K45" s="1" t="str">
        <f>VLOOKUP(AE45,[1]Profile!$A$2:$B$8,2,FALSE)</f>
        <v>License</v>
      </c>
      <c r="M45" s="1" t="str">
        <f>VLOOKUP(Y45,[1]License_Method_ID!$A$2:$B$13,2,FALSE)</f>
        <v>no technical license protection</v>
      </c>
      <c r="N45" s="1" t="s">
        <v>47</v>
      </c>
      <c r="O45" s="1">
        <v>10</v>
      </c>
      <c r="P45" s="1">
        <v>50</v>
      </c>
      <c r="Q45" s="1" t="str">
        <f>VLOOKUP(AB45,[1]Operational_Profit_Type_ID!$A$2:$B$3,2,FALSE)</f>
        <v>Fix rate</v>
      </c>
      <c r="R45" s="1" t="s">
        <v>48</v>
      </c>
      <c r="T45" s="1" t="str">
        <f>VLOOKUP(AD45,[1]UpdateRightID!$A$2:$B$4,2,FALSE)</f>
        <v>UpdateRightByConfiguration</v>
      </c>
      <c r="U45" s="1" t="s">
        <v>48</v>
      </c>
      <c r="Y45" s="1">
        <v>0</v>
      </c>
      <c r="AB45" s="1">
        <v>1</v>
      </c>
      <c r="AD45" s="1">
        <v>1</v>
      </c>
      <c r="AE45" s="1">
        <v>1</v>
      </c>
    </row>
    <row r="46" spans="1:31" ht="75">
      <c r="B46" s="1" t="s">
        <v>155</v>
      </c>
      <c r="C46" t="s">
        <v>156</v>
      </c>
      <c r="D46" s="1" t="s">
        <v>151</v>
      </c>
      <c r="E46" s="1" t="e">
        <f>VLOOKUP(Z46,[1]LicenseDuration_ID!$A$2:$B$8,2,FALSE)</f>
        <v>#N/A</v>
      </c>
      <c r="F46" s="1" t="e">
        <f>VLOOKUP(AA46,[1]MaintenanceDuration_ID!$A$2:$B$5,2,FALSE)</f>
        <v>#N/A</v>
      </c>
      <c r="G46" s="1" t="e">
        <f>VLOOKUP(V46,[1]ExpectedDeliveryTime_ID!$A$2:$B$12,2,FALSE)</f>
        <v>#N/A</v>
      </c>
      <c r="H46" s="1" t="e">
        <f>VLOOKUP(AC46,[1]PaymentModel_ID!$A$2:$B$7,2,FALSE)</f>
        <v>#N/A</v>
      </c>
      <c r="I46" s="1" t="e">
        <f>VLOOKUP(W46,[1]ExpectedInvoiceDate_ID!$A$2:$B$12,2,FALSE)</f>
        <v>#N/A</v>
      </c>
      <c r="J46" s="1" t="e">
        <f>VLOOKUP(X46,[1]GrantOfRights_ID!$A$2:$B$7,2,FALSE)</f>
        <v>#N/A</v>
      </c>
      <c r="K46" s="1" t="str">
        <f>VLOOKUP(AE46,[1]Profile!$A$2:$B$8,2,FALSE)</f>
        <v>License</v>
      </c>
      <c r="M46" s="1" t="str">
        <f>VLOOKUP(Y46,[1]License_Method_ID!$A$2:$B$13,2,FALSE)</f>
        <v>no technical license protection</v>
      </c>
      <c r="N46" s="1" t="s">
        <v>47</v>
      </c>
      <c r="O46" s="1">
        <v>10</v>
      </c>
      <c r="P46" s="1">
        <v>50</v>
      </c>
      <c r="Q46" s="1" t="str">
        <f>VLOOKUP(AB46,[1]Operational_Profit_Type_ID!$A$2:$B$3,2,FALSE)</f>
        <v>Fix rate</v>
      </c>
      <c r="R46" s="1" t="s">
        <v>48</v>
      </c>
      <c r="T46" s="1" t="str">
        <f>VLOOKUP(AD46,[1]UpdateRightID!$A$2:$B$4,2,FALSE)</f>
        <v>TotalAmountAsUpdateRight</v>
      </c>
      <c r="U46" s="1" t="s">
        <v>48</v>
      </c>
      <c r="Y46" s="1">
        <v>0</v>
      </c>
      <c r="AB46" s="1">
        <v>1</v>
      </c>
      <c r="AD46" s="1">
        <v>2</v>
      </c>
      <c r="AE46" s="1">
        <v>1</v>
      </c>
    </row>
    <row r="47" spans="1:31" ht="90">
      <c r="B47" s="1" t="s">
        <v>157</v>
      </c>
      <c r="C47" t="s">
        <v>158</v>
      </c>
      <c r="D47" s="1" t="s">
        <v>159</v>
      </c>
      <c r="E47" s="1" t="e">
        <f>VLOOKUP(Z47,[1]LicenseDuration_ID!$A$2:$B$8,2,FALSE)</f>
        <v>#N/A</v>
      </c>
      <c r="F47" s="1" t="e">
        <f>VLOOKUP(AA47,[1]MaintenanceDuration_ID!$A$2:$B$5,2,FALSE)</f>
        <v>#N/A</v>
      </c>
      <c r="G47" s="1" t="e">
        <f>VLOOKUP(V47,[1]ExpectedDeliveryTime_ID!$A$2:$B$12,2,FALSE)</f>
        <v>#N/A</v>
      </c>
      <c r="H47" s="1" t="e">
        <f>VLOOKUP(AC47,[1]PaymentModel_ID!$A$2:$B$7,2,FALSE)</f>
        <v>#N/A</v>
      </c>
      <c r="I47" s="1" t="e">
        <f>VLOOKUP(W47,[1]ExpectedInvoiceDate_ID!$A$2:$B$12,2,FALSE)</f>
        <v>#N/A</v>
      </c>
      <c r="J47" s="1" t="e">
        <f>VLOOKUP(X47,[1]GrantOfRights_ID!$A$2:$B$7,2,FALSE)</f>
        <v>#N/A</v>
      </c>
      <c r="K47" s="1" t="str">
        <f>VLOOKUP(AE47,[1]Profile!$A$2:$B$8,2,FALSE)</f>
        <v>License</v>
      </c>
      <c r="M47" s="1" t="str">
        <f>VLOOKUP(Y47,[1]License_Method_ID!$A$2:$B$13,2,FALSE)</f>
        <v>no technical license protection</v>
      </c>
      <c r="N47" s="1" t="s">
        <v>47</v>
      </c>
      <c r="O47" s="1">
        <v>10</v>
      </c>
      <c r="P47" s="1">
        <v>50</v>
      </c>
      <c r="Q47" s="1" t="str">
        <f>VLOOKUP(AB47,[1]Operational_Profit_Type_ID!$A$2:$B$3,2,FALSE)</f>
        <v>Fix rate</v>
      </c>
      <c r="R47" s="1" t="s">
        <v>48</v>
      </c>
      <c r="T47" s="1" t="str">
        <f>VLOOKUP(AD47,[1]UpdateRightID!$A$2:$B$4,2,FALSE)</f>
        <v>UpdateRightByConfiguration</v>
      </c>
      <c r="U47" s="1" t="s">
        <v>48</v>
      </c>
      <c r="Y47" s="1">
        <v>0</v>
      </c>
      <c r="AB47" s="1">
        <v>1</v>
      </c>
      <c r="AD47" s="1">
        <v>1</v>
      </c>
      <c r="AE47" s="1">
        <v>1</v>
      </c>
    </row>
    <row r="48" spans="1:31" ht="75">
      <c r="B48" s="1" t="s">
        <v>160</v>
      </c>
      <c r="C48" t="s">
        <v>161</v>
      </c>
      <c r="D48" s="1" t="s">
        <v>151</v>
      </c>
      <c r="E48" s="1" t="e">
        <f>VLOOKUP(Z48,[1]LicenseDuration_ID!$A$2:$B$8,2,FALSE)</f>
        <v>#N/A</v>
      </c>
      <c r="F48" s="1" t="e">
        <f>VLOOKUP(AA48,[1]MaintenanceDuration_ID!$A$2:$B$5,2,FALSE)</f>
        <v>#N/A</v>
      </c>
      <c r="G48" s="1" t="e">
        <f>VLOOKUP(V48,[1]ExpectedDeliveryTime_ID!$A$2:$B$12,2,FALSE)</f>
        <v>#N/A</v>
      </c>
      <c r="H48" s="1" t="e">
        <f>VLOOKUP(AC48,[1]PaymentModel_ID!$A$2:$B$7,2,FALSE)</f>
        <v>#N/A</v>
      </c>
      <c r="I48" s="1" t="e">
        <f>VLOOKUP(W48,[1]ExpectedInvoiceDate_ID!$A$2:$B$12,2,FALSE)</f>
        <v>#N/A</v>
      </c>
      <c r="J48" s="1" t="e">
        <f>VLOOKUP(X48,[1]GrantOfRights_ID!$A$2:$B$7,2,FALSE)</f>
        <v>#N/A</v>
      </c>
      <c r="K48" s="1" t="str">
        <f>VLOOKUP(AE48,[1]Profile!$A$2:$B$8,2,FALSE)</f>
        <v>License</v>
      </c>
      <c r="M48" s="1" t="str">
        <f>VLOOKUP(Y48,[1]License_Method_ID!$A$2:$B$13,2,FALSE)</f>
        <v>no technical license protection</v>
      </c>
      <c r="N48" s="1" t="s">
        <v>47</v>
      </c>
      <c r="O48" s="1">
        <v>10</v>
      </c>
      <c r="P48" s="1">
        <v>50</v>
      </c>
      <c r="Q48" s="1" t="str">
        <f>VLOOKUP(AB48,[1]Operational_Profit_Type_ID!$A$2:$B$3,2,FALSE)</f>
        <v>Fix rate</v>
      </c>
      <c r="R48" s="1" t="s">
        <v>48</v>
      </c>
      <c r="T48" s="1" t="str">
        <f>VLOOKUP(AD48,[1]UpdateRightID!$A$2:$B$4,2,FALSE)</f>
        <v>TotalAmountAsUpdateRight</v>
      </c>
      <c r="U48" s="1" t="s">
        <v>48</v>
      </c>
      <c r="Y48" s="1">
        <v>0</v>
      </c>
      <c r="AB48" s="1">
        <v>1</v>
      </c>
      <c r="AD48" s="1">
        <v>2</v>
      </c>
      <c r="AE48" s="1">
        <v>1</v>
      </c>
    </row>
    <row r="49" spans="1:31" ht="120">
      <c r="B49" s="1" t="s">
        <v>162</v>
      </c>
      <c r="C49" t="s">
        <v>163</v>
      </c>
      <c r="D49" s="1" t="s">
        <v>164</v>
      </c>
      <c r="E49" s="1" t="e">
        <f>VLOOKUP(Z49,[1]LicenseDuration_ID!$A$2:$B$8,2,FALSE)</f>
        <v>#N/A</v>
      </c>
      <c r="F49" s="1" t="e">
        <f>VLOOKUP(AA49,[1]MaintenanceDuration_ID!$A$2:$B$5,2,FALSE)</f>
        <v>#N/A</v>
      </c>
      <c r="G49" s="1" t="e">
        <f>VLOOKUP(V49,[1]ExpectedDeliveryTime_ID!$A$2:$B$12,2,FALSE)</f>
        <v>#N/A</v>
      </c>
      <c r="H49" s="1" t="e">
        <f>VLOOKUP(AC49,[1]PaymentModel_ID!$A$2:$B$7,2,FALSE)</f>
        <v>#N/A</v>
      </c>
      <c r="I49" s="1" t="e">
        <f>VLOOKUP(W49,[1]ExpectedInvoiceDate_ID!$A$2:$B$12,2,FALSE)</f>
        <v>#N/A</v>
      </c>
      <c r="J49" s="1" t="e">
        <f>VLOOKUP(X49,[1]GrantOfRights_ID!$A$2:$B$7,2,FALSE)</f>
        <v>#N/A</v>
      </c>
      <c r="K49" s="1" t="str">
        <f>VLOOKUP(AE49,[1]Profile!$A$2:$B$8,2,FALSE)</f>
        <v>License</v>
      </c>
      <c r="M49" s="1" t="str">
        <f>VLOOKUP(Y49,[1]License_Method_ID!$A$2:$B$13,2,FALSE)</f>
        <v>no technical license protection</v>
      </c>
      <c r="N49" s="1" t="s">
        <v>47</v>
      </c>
      <c r="O49" s="1">
        <v>10</v>
      </c>
      <c r="P49" s="1">
        <v>50</v>
      </c>
      <c r="Q49" s="1" t="str">
        <f>VLOOKUP(AB49,[1]Operational_Profit_Type_ID!$A$2:$B$3,2,FALSE)</f>
        <v>Fix rate</v>
      </c>
      <c r="R49" s="1" t="s">
        <v>48</v>
      </c>
      <c r="T49" s="1" t="str">
        <f>VLOOKUP(AD49,[1]UpdateRightID!$A$2:$B$4,2,FALSE)</f>
        <v>UpdateRightByConfiguration</v>
      </c>
      <c r="U49" s="1" t="s">
        <v>48</v>
      </c>
      <c r="Y49" s="1">
        <v>0</v>
      </c>
      <c r="AB49" s="1">
        <v>1</v>
      </c>
      <c r="AD49" s="1">
        <v>1</v>
      </c>
      <c r="AE49" s="1">
        <v>1</v>
      </c>
    </row>
    <row r="50" spans="1:31" ht="75">
      <c r="B50" s="1" t="s">
        <v>165</v>
      </c>
      <c r="C50" t="s">
        <v>166</v>
      </c>
      <c r="D50" s="1" t="s">
        <v>167</v>
      </c>
      <c r="E50" s="1" t="e">
        <f>VLOOKUP(Z50,[1]LicenseDuration_ID!$A$2:$B$8,2,FALSE)</f>
        <v>#N/A</v>
      </c>
      <c r="F50" s="1" t="e">
        <f>VLOOKUP(AA50,[1]MaintenanceDuration_ID!$A$2:$B$5,2,FALSE)</f>
        <v>#N/A</v>
      </c>
      <c r="G50" s="1" t="e">
        <f>VLOOKUP(V50,[1]ExpectedDeliveryTime_ID!$A$2:$B$12,2,FALSE)</f>
        <v>#N/A</v>
      </c>
      <c r="H50" s="1" t="e">
        <f>VLOOKUP(AC50,[1]PaymentModel_ID!$A$2:$B$7,2,FALSE)</f>
        <v>#N/A</v>
      </c>
      <c r="I50" s="1" t="e">
        <f>VLOOKUP(W50,[1]ExpectedInvoiceDate_ID!$A$2:$B$12,2,FALSE)</f>
        <v>#N/A</v>
      </c>
      <c r="J50" s="1" t="e">
        <f>VLOOKUP(X50,[1]GrantOfRights_ID!$A$2:$B$7,2,FALSE)</f>
        <v>#N/A</v>
      </c>
      <c r="K50" s="1" t="str">
        <f>VLOOKUP(AE50,[1]Profile!$A$2:$B$8,2,FALSE)</f>
        <v>License</v>
      </c>
      <c r="M50" s="1" t="str">
        <f>VLOOKUP(Y50,[1]License_Method_ID!$A$2:$B$13,2,FALSE)</f>
        <v>no technical license protection</v>
      </c>
      <c r="N50" s="1" t="s">
        <v>47</v>
      </c>
      <c r="O50" s="1">
        <v>10</v>
      </c>
      <c r="P50" s="1">
        <v>50</v>
      </c>
      <c r="Q50" s="1" t="str">
        <f>VLOOKUP(AB50,[1]Operational_Profit_Type_ID!$A$2:$B$3,2,FALSE)</f>
        <v>Fix rate</v>
      </c>
      <c r="R50" s="1" t="s">
        <v>48</v>
      </c>
      <c r="T50" s="1" t="str">
        <f>VLOOKUP(AD50,[1]UpdateRightID!$A$2:$B$4,2,FALSE)</f>
        <v>TotalAmountAsUpdateRight</v>
      </c>
      <c r="U50" s="1" t="s">
        <v>48</v>
      </c>
      <c r="Y50" s="1">
        <v>0</v>
      </c>
      <c r="AB50" s="1">
        <v>1</v>
      </c>
      <c r="AD50" s="1">
        <v>2</v>
      </c>
      <c r="AE50" s="1">
        <v>1</v>
      </c>
    </row>
    <row r="51" spans="1:31" ht="120">
      <c r="B51" s="1" t="s">
        <v>168</v>
      </c>
      <c r="C51" t="s">
        <v>169</v>
      </c>
      <c r="D51" s="1" t="s">
        <v>170</v>
      </c>
      <c r="E51" s="1" t="e">
        <f>VLOOKUP(Z51,[1]LicenseDuration_ID!$A$2:$B$8,2,FALSE)</f>
        <v>#N/A</v>
      </c>
      <c r="F51" s="1" t="e">
        <f>VLOOKUP(AA51,[1]MaintenanceDuration_ID!$A$2:$B$5,2,FALSE)</f>
        <v>#N/A</v>
      </c>
      <c r="G51" s="1" t="e">
        <f>VLOOKUP(V51,[1]ExpectedDeliveryTime_ID!$A$2:$B$12,2,FALSE)</f>
        <v>#N/A</v>
      </c>
      <c r="H51" s="1" t="e">
        <f>VLOOKUP(AC51,[1]PaymentModel_ID!$A$2:$B$7,2,FALSE)</f>
        <v>#N/A</v>
      </c>
      <c r="I51" s="1" t="e">
        <f>VLOOKUP(W51,[1]ExpectedInvoiceDate_ID!$A$2:$B$12,2,FALSE)</f>
        <v>#N/A</v>
      </c>
      <c r="J51" s="1" t="e">
        <f>VLOOKUP(X51,[1]GrantOfRights_ID!$A$2:$B$7,2,FALSE)</f>
        <v>#N/A</v>
      </c>
      <c r="K51" s="1" t="str">
        <f>VLOOKUP(AE51,[1]Profile!$A$2:$B$8,2,FALSE)</f>
        <v>License</v>
      </c>
      <c r="M51" s="1" t="str">
        <f>VLOOKUP(Y51,[1]License_Method_ID!$A$2:$B$13,2,FALSE)</f>
        <v>no technical license protection</v>
      </c>
      <c r="N51" s="1" t="s">
        <v>47</v>
      </c>
      <c r="O51" s="1">
        <v>10</v>
      </c>
      <c r="P51" s="1">
        <v>50</v>
      </c>
      <c r="Q51" s="1" t="str">
        <f>VLOOKUP(AB51,[1]Operational_Profit_Type_ID!$A$2:$B$3,2,FALSE)</f>
        <v>Fix rate</v>
      </c>
      <c r="R51" s="1" t="s">
        <v>48</v>
      </c>
      <c r="T51" s="1" t="str">
        <f>VLOOKUP(AD51,[1]UpdateRightID!$A$2:$B$4,2,FALSE)</f>
        <v>UpdateRightByConfiguration</v>
      </c>
      <c r="U51" s="1" t="s">
        <v>48</v>
      </c>
      <c r="Y51" s="1">
        <v>0</v>
      </c>
      <c r="AB51" s="1">
        <v>1</v>
      </c>
      <c r="AD51" s="1">
        <v>1</v>
      </c>
      <c r="AE51" s="1">
        <v>1</v>
      </c>
    </row>
    <row r="52" spans="1:31" ht="75">
      <c r="B52" s="1" t="s">
        <v>171</v>
      </c>
      <c r="C52" t="s">
        <v>172</v>
      </c>
      <c r="D52" s="1" t="s">
        <v>167</v>
      </c>
      <c r="E52" s="1" t="e">
        <f>VLOOKUP(Z52,[1]LicenseDuration_ID!$A$2:$B$8,2,FALSE)</f>
        <v>#N/A</v>
      </c>
      <c r="F52" s="1" t="e">
        <f>VLOOKUP(AA52,[1]MaintenanceDuration_ID!$A$2:$B$5,2,FALSE)</f>
        <v>#N/A</v>
      </c>
      <c r="G52" s="1" t="e">
        <f>VLOOKUP(V52,[1]ExpectedDeliveryTime_ID!$A$2:$B$12,2,FALSE)</f>
        <v>#N/A</v>
      </c>
      <c r="H52" s="1" t="e">
        <f>VLOOKUP(AC52,[1]PaymentModel_ID!$A$2:$B$7,2,FALSE)</f>
        <v>#N/A</v>
      </c>
      <c r="I52" s="1" t="e">
        <f>VLOOKUP(W52,[1]ExpectedInvoiceDate_ID!$A$2:$B$12,2,FALSE)</f>
        <v>#N/A</v>
      </c>
      <c r="J52" s="1" t="e">
        <f>VLOOKUP(X52,[1]GrantOfRights_ID!$A$2:$B$7,2,FALSE)</f>
        <v>#N/A</v>
      </c>
      <c r="K52" s="1" t="str">
        <f>VLOOKUP(AE52,[1]Profile!$A$2:$B$8,2,FALSE)</f>
        <v>License</v>
      </c>
      <c r="M52" s="1" t="str">
        <f>VLOOKUP(Y52,[1]License_Method_ID!$A$2:$B$13,2,FALSE)</f>
        <v>no technical license protection</v>
      </c>
      <c r="N52" s="1" t="s">
        <v>47</v>
      </c>
      <c r="O52" s="1">
        <v>10</v>
      </c>
      <c r="P52" s="1">
        <v>50</v>
      </c>
      <c r="Q52" s="1" t="str">
        <f>VLOOKUP(AB52,[1]Operational_Profit_Type_ID!$A$2:$B$3,2,FALSE)</f>
        <v>Fix rate</v>
      </c>
      <c r="R52" s="1" t="s">
        <v>48</v>
      </c>
      <c r="T52" s="1" t="str">
        <f>VLOOKUP(AD52,[1]UpdateRightID!$A$2:$B$4,2,FALSE)</f>
        <v>TotalAmountAsUpdateRight</v>
      </c>
      <c r="U52" s="1" t="s">
        <v>48</v>
      </c>
      <c r="Y52" s="1">
        <v>0</v>
      </c>
      <c r="AB52" s="1">
        <v>1</v>
      </c>
      <c r="AD52" s="1">
        <v>2</v>
      </c>
      <c r="AE52" s="1">
        <v>1</v>
      </c>
    </row>
    <row r="53" spans="1:31" ht="30">
      <c r="B53" s="1" t="s">
        <v>173</v>
      </c>
      <c r="C53" t="s">
        <v>174</v>
      </c>
      <c r="E53" s="1" t="e">
        <f>VLOOKUP(Z53,[1]LicenseDuration_ID!$A$2:$B$8,2,FALSE)</f>
        <v>#N/A</v>
      </c>
      <c r="F53" s="1" t="e">
        <f>VLOOKUP(AA53,[1]MaintenanceDuration_ID!$A$2:$B$5,2,FALSE)</f>
        <v>#N/A</v>
      </c>
      <c r="G53" s="1" t="e">
        <f>VLOOKUP(V53,[1]ExpectedDeliveryTime_ID!$A$2:$B$12,2,FALSE)</f>
        <v>#N/A</v>
      </c>
      <c r="H53" s="1" t="e">
        <f>VLOOKUP(AC53,[1]PaymentModel_ID!$A$2:$B$7,2,FALSE)</f>
        <v>#N/A</v>
      </c>
      <c r="I53" s="1" t="e">
        <f>VLOOKUP(W53,[1]ExpectedInvoiceDate_ID!$A$2:$B$12,2,FALSE)</f>
        <v>#N/A</v>
      </c>
      <c r="J53" s="1" t="e">
        <f>VLOOKUP(X53,[1]GrantOfRights_ID!$A$2:$B$7,2,FALSE)</f>
        <v>#N/A</v>
      </c>
      <c r="K53" s="1" t="str">
        <f>VLOOKUP(AE53,[1]Profile!$A$2:$B$8,2,FALSE)</f>
        <v>License</v>
      </c>
      <c r="M53" s="1" t="str">
        <f>VLOOKUP(Y53,[1]License_Method_ID!$A$2:$B$13,2,FALSE)</f>
        <v>no technical license protection</v>
      </c>
      <c r="N53" s="1" t="s">
        <v>47</v>
      </c>
      <c r="O53" s="1">
        <v>10</v>
      </c>
      <c r="P53" s="1">
        <v>50</v>
      </c>
      <c r="Q53" s="1" t="str">
        <f>VLOOKUP(AB53,[1]Operational_Profit_Type_ID!$A$2:$B$3,2,FALSE)</f>
        <v>Fix rate</v>
      </c>
      <c r="R53" s="1" t="s">
        <v>55</v>
      </c>
      <c r="T53" s="1" t="str">
        <f>VLOOKUP(AD53,[1]UpdateRightID!$A$2:$B$4,2,FALSE)</f>
        <v>UpdateRightByConfiguration</v>
      </c>
      <c r="U53" s="1" t="s">
        <v>48</v>
      </c>
      <c r="Y53" s="1">
        <v>0</v>
      </c>
      <c r="AB53" s="1">
        <v>1</v>
      </c>
      <c r="AD53" s="1">
        <v>1</v>
      </c>
      <c r="AE53" s="1">
        <v>1</v>
      </c>
    </row>
    <row r="54" spans="1:31" ht="75">
      <c r="A54" s="1" t="s">
        <v>43</v>
      </c>
      <c r="B54" s="1" t="s">
        <v>175</v>
      </c>
      <c r="C54" t="s">
        <v>176</v>
      </c>
      <c r="D54" s="1" t="s">
        <v>177</v>
      </c>
      <c r="E54" s="1" t="str">
        <f>VLOOKUP(Z54,[1]LicenseDuration_ID!$A$2:$B$8,2,FALSE)</f>
        <v>n/a</v>
      </c>
      <c r="F54" s="1" t="str">
        <f>VLOOKUP(AA54,[1]MaintenanceDuration_ID!$A$2:$B$5,2,FALSE)</f>
        <v>n/a</v>
      </c>
      <c r="G54" s="1" t="str">
        <f>VLOOKUP(V54,[1]ExpectedDeliveryTime_ID!$A$2:$B$12,2,FALSE)</f>
        <v>In mutual alignment with the project</v>
      </c>
      <c r="H54" s="1" t="str">
        <f>VLOOKUP(AC54,[1]PaymentModel_ID!$A$2:$B$7,2,FALSE)</f>
        <v>One-time payment</v>
      </c>
      <c r="I54" s="1" t="str">
        <f>VLOOKUP(W54,[1]ExpectedInvoiceDate_ID!$A$2:$B$12,2,FALSE)</f>
        <v>With FINAL DELIVERY</v>
      </c>
      <c r="J54" s="1" t="str">
        <f>VLOOKUP(X54,[1]GrantOfRights_ID!$A$2:$B$7,2,FALSE)</f>
        <v>n/a</v>
      </c>
      <c r="K54" s="1" t="str">
        <f>VLOOKUP(AE54,[1]Profile!$A$2:$B$8,2,FALSE)</f>
        <v>Product related service without profile</v>
      </c>
      <c r="M54" s="1" t="str">
        <f>VLOOKUP(Y54,[1]License_Method_ID!$A$2:$B$13,2,FALSE)</f>
        <v>no technical license protection</v>
      </c>
      <c r="N54" s="1" t="s">
        <v>88</v>
      </c>
      <c r="O54" s="1">
        <v>10</v>
      </c>
      <c r="Q54" s="1" t="str">
        <f>VLOOKUP(AB54,[1]Operational_Profit_Type_ID!$A$2:$B$3,2,FALSE)</f>
        <v>Calculated</v>
      </c>
      <c r="R54" s="1" t="s">
        <v>55</v>
      </c>
      <c r="T54" s="1" t="str">
        <f>VLOOKUP(AD54,[1]UpdateRightID!$A$2:$B$4,2,FALSE)</f>
        <v>none</v>
      </c>
      <c r="U54" s="1" t="s">
        <v>48</v>
      </c>
      <c r="V54" s="1">
        <v>18</v>
      </c>
      <c r="W54" s="1">
        <v>7</v>
      </c>
      <c r="X54" s="1">
        <v>1</v>
      </c>
      <c r="Y54" s="1">
        <v>0</v>
      </c>
      <c r="Z54" s="1">
        <v>1</v>
      </c>
      <c r="AA54" s="1">
        <v>1</v>
      </c>
      <c r="AB54" s="1">
        <v>2</v>
      </c>
      <c r="AC54" s="1">
        <v>2</v>
      </c>
      <c r="AD54" s="1">
        <v>0</v>
      </c>
      <c r="AE54" s="1">
        <v>0</v>
      </c>
    </row>
    <row r="55" spans="1:31" ht="225">
      <c r="A55" s="1" t="s">
        <v>43</v>
      </c>
      <c r="B55" s="1" t="s">
        <v>178</v>
      </c>
      <c r="C55" t="s">
        <v>179</v>
      </c>
      <c r="D55" s="1" t="s">
        <v>180</v>
      </c>
      <c r="E55" s="1" t="str">
        <f>VLOOKUP(Z55,[1]LicenseDuration_ID!$A$2:$B$8,2,FALSE)</f>
        <v>perpetual</v>
      </c>
      <c r="F55" s="1" t="str">
        <f>VLOOKUP(AA55,[1]MaintenanceDuration_ID!$A$2:$B$5,2,FALSE)</f>
        <v>12 months</v>
      </c>
      <c r="G55" s="1" t="str">
        <f>VLOOKUP(V55,[1]ExpectedDeliveryTime_ID!$A$2:$B$12,2,FALSE)</f>
        <v>FINALIZED PURCHASE PROCESS + 2 weeks</v>
      </c>
      <c r="H55" s="1" t="str">
        <f>VLOOKUP(AC55,[1]PaymentModel_ID!$A$2:$B$7,2,FALSE)</f>
        <v>One-time payment</v>
      </c>
      <c r="I55" s="1" t="str">
        <f>VLOOKUP(W55,[1]ExpectedInvoiceDate_ID!$A$2:$B$12,2,FALSE)</f>
        <v>With FINAL DELIVERY</v>
      </c>
      <c r="J55" s="1" t="str">
        <f>VLOOKUP(X55,[1]GrantOfRights_ID!$A$2:$B$7,2,FALSE)</f>
        <v>Reproduction and Distribution License</v>
      </c>
      <c r="K55" s="1" t="str">
        <f>VLOOKUP(AE55,[1]Profile!$A$2:$B$8,2,FALSE)</f>
        <v>License</v>
      </c>
      <c r="M55" s="1" t="str">
        <f>VLOOKUP(Y55,[1]License_Method_ID!$A$2:$B$13,2,FALSE)</f>
        <v>no technical license protection</v>
      </c>
      <c r="N55" s="1" t="s">
        <v>47</v>
      </c>
      <c r="O55" s="1">
        <v>10</v>
      </c>
      <c r="P55" s="1">
        <v>50</v>
      </c>
      <c r="Q55" s="1" t="str">
        <f>VLOOKUP(AB55,[1]Operational_Profit_Type_ID!$A$2:$B$3,2,FALSE)</f>
        <v>Fix rate</v>
      </c>
      <c r="R55" s="1" t="s">
        <v>48</v>
      </c>
      <c r="T55" s="1" t="str">
        <f>VLOOKUP(AD55,[1]UpdateRightID!$A$2:$B$4,2,FALSE)</f>
        <v>UpdateRightByConfiguration</v>
      </c>
      <c r="U55" s="1" t="s">
        <v>48</v>
      </c>
      <c r="V55" s="1">
        <v>2</v>
      </c>
      <c r="W55" s="1">
        <v>7</v>
      </c>
      <c r="X55" s="1">
        <v>5</v>
      </c>
      <c r="Y55" s="1">
        <v>0</v>
      </c>
      <c r="Z55" s="1">
        <v>6</v>
      </c>
      <c r="AA55" s="1">
        <v>3</v>
      </c>
      <c r="AB55" s="1">
        <v>1</v>
      </c>
      <c r="AC55" s="1">
        <v>2</v>
      </c>
      <c r="AD55" s="1">
        <v>1</v>
      </c>
      <c r="AE55" s="1">
        <v>1</v>
      </c>
    </row>
    <row r="56" spans="1:31" ht="360">
      <c r="B56" s="1" t="s">
        <v>181</v>
      </c>
      <c r="C56" t="s">
        <v>182</v>
      </c>
      <c r="D56" s="1" t="s">
        <v>183</v>
      </c>
      <c r="E56" s="1" t="e">
        <f>VLOOKUP(Z56,[1]LicenseDuration_ID!$A$2:$B$8,2,FALSE)</f>
        <v>#N/A</v>
      </c>
      <c r="F56" s="1" t="e">
        <f>VLOOKUP(AA56,[1]MaintenanceDuration_ID!$A$2:$B$5,2,FALSE)</f>
        <v>#N/A</v>
      </c>
      <c r="G56" s="1" t="e">
        <f>VLOOKUP(V56,[1]ExpectedDeliveryTime_ID!$A$2:$B$12,2,FALSE)</f>
        <v>#N/A</v>
      </c>
      <c r="H56" s="1" t="e">
        <f>VLOOKUP(AC56,[1]PaymentModel_ID!$A$2:$B$7,2,FALSE)</f>
        <v>#N/A</v>
      </c>
      <c r="I56" s="1" t="e">
        <f>VLOOKUP(W56,[1]ExpectedInvoiceDate_ID!$A$2:$B$12,2,FALSE)</f>
        <v>#N/A</v>
      </c>
      <c r="J56" s="1" t="e">
        <f>VLOOKUP(X56,[1]GrantOfRights_ID!$A$2:$B$7,2,FALSE)</f>
        <v>#N/A</v>
      </c>
      <c r="K56" s="1" t="str">
        <f>VLOOKUP(AE56,[1]Profile!$A$2:$B$8,2,FALSE)</f>
        <v>License</v>
      </c>
      <c r="M56" s="1" t="str">
        <f>VLOOKUP(Y56,[1]License_Method_ID!$A$2:$B$13,2,FALSE)</f>
        <v>no technical license protection</v>
      </c>
      <c r="O56" s="1">
        <v>10</v>
      </c>
      <c r="P56" s="1">
        <v>50</v>
      </c>
      <c r="Q56" s="1" t="str">
        <f>VLOOKUP(AB56,[1]Operational_Profit_Type_ID!$A$2:$B$3,2,FALSE)</f>
        <v>Fix rate</v>
      </c>
      <c r="R56" s="1" t="s">
        <v>55</v>
      </c>
      <c r="T56" s="1" t="str">
        <f>VLOOKUP(AD56,[1]UpdateRightID!$A$2:$B$4,2,FALSE)</f>
        <v>none</v>
      </c>
      <c r="U56" s="1" t="s">
        <v>48</v>
      </c>
      <c r="Y56" s="1">
        <v>0</v>
      </c>
      <c r="AB56" s="1">
        <v>1</v>
      </c>
      <c r="AD56" s="1">
        <v>0</v>
      </c>
      <c r="AE56" s="1">
        <v>1</v>
      </c>
    </row>
    <row r="57" spans="1:31" ht="255">
      <c r="A57" s="1" t="s">
        <v>43</v>
      </c>
      <c r="B57" s="1" t="s">
        <v>184</v>
      </c>
      <c r="C57" t="s">
        <v>185</v>
      </c>
      <c r="D57" s="1" t="s">
        <v>186</v>
      </c>
      <c r="E57" s="1" t="str">
        <f>VLOOKUP(Z57,[1]LicenseDuration_ID!$A$2:$B$8,2,FALSE)</f>
        <v>perpetual</v>
      </c>
      <c r="F57" s="1" t="str">
        <f>VLOOKUP(AA57,[1]MaintenanceDuration_ID!$A$2:$B$5,2,FALSE)</f>
        <v>12 months</v>
      </c>
      <c r="G57" s="1" t="str">
        <f>VLOOKUP(V57,[1]ExpectedDeliveryTime_ID!$A$2:$B$12,2,FALSE)</f>
        <v>FINALIZED PURCHASE PROCESS + 2 weeks</v>
      </c>
      <c r="H57" s="1" t="str">
        <f>VLOOKUP(AC57,[1]PaymentModel_ID!$A$2:$B$7,2,FALSE)</f>
        <v>One-time payment</v>
      </c>
      <c r="I57" s="1" t="str">
        <f>VLOOKUP(W57,[1]ExpectedInvoiceDate_ID!$A$2:$B$12,2,FALSE)</f>
        <v>With FINAL DELIVERY</v>
      </c>
      <c r="J57" s="1" t="str">
        <f>VLOOKUP(X57,[1]GrantOfRights_ID!$A$2:$B$7,2,FALSE)</f>
        <v>Reproduction and Distribution License</v>
      </c>
      <c r="K57" s="1" t="str">
        <f>VLOOKUP(AE57,[1]Profile!$A$2:$B$8,2,FALSE)</f>
        <v>License</v>
      </c>
      <c r="M57" s="1" t="str">
        <f>VLOOKUP(Y57,[1]License_Method_ID!$A$2:$B$13,2,FALSE)</f>
        <v>no technical license protection</v>
      </c>
      <c r="N57" s="1" t="s">
        <v>47</v>
      </c>
      <c r="O57" s="1">
        <v>10</v>
      </c>
      <c r="P57" s="1">
        <v>50</v>
      </c>
      <c r="Q57" s="1" t="str">
        <f>VLOOKUP(AB57,[1]Operational_Profit_Type_ID!$A$2:$B$3,2,FALSE)</f>
        <v>Fix rate</v>
      </c>
      <c r="R57" s="1" t="s">
        <v>48</v>
      </c>
      <c r="T57" s="1" t="str">
        <f>VLOOKUP(AD57,[1]UpdateRightID!$A$2:$B$4,2,FALSE)</f>
        <v>UpdateRightByConfiguration</v>
      </c>
      <c r="U57" s="1" t="s">
        <v>48</v>
      </c>
      <c r="V57" s="1">
        <v>2</v>
      </c>
      <c r="W57" s="1">
        <v>7</v>
      </c>
      <c r="X57" s="1">
        <v>5</v>
      </c>
      <c r="Y57" s="1">
        <v>0</v>
      </c>
      <c r="Z57" s="1">
        <v>6</v>
      </c>
      <c r="AA57" s="1">
        <v>3</v>
      </c>
      <c r="AB57" s="1">
        <v>1</v>
      </c>
      <c r="AC57" s="1">
        <v>2</v>
      </c>
      <c r="AD57" s="1">
        <v>1</v>
      </c>
      <c r="AE57" s="1">
        <v>1</v>
      </c>
    </row>
    <row r="58" spans="1:31">
      <c r="B58" s="1" t="s">
        <v>187</v>
      </c>
      <c r="C58" t="s">
        <v>188</v>
      </c>
      <c r="E58" s="1" t="e">
        <f>VLOOKUP(Z58,[1]LicenseDuration_ID!$A$2:$B$8,2,FALSE)</f>
        <v>#N/A</v>
      </c>
      <c r="F58" s="1" t="e">
        <f>VLOOKUP(AA58,[1]MaintenanceDuration_ID!$A$2:$B$5,2,FALSE)</f>
        <v>#N/A</v>
      </c>
      <c r="G58" s="1" t="e">
        <f>VLOOKUP(V58,[1]ExpectedDeliveryTime_ID!$A$2:$B$12,2,FALSE)</f>
        <v>#N/A</v>
      </c>
      <c r="H58" s="1" t="e">
        <f>VLOOKUP(AC58,[1]PaymentModel_ID!$A$2:$B$7,2,FALSE)</f>
        <v>#N/A</v>
      </c>
      <c r="I58" s="1" t="e">
        <f>VLOOKUP(W58,[1]ExpectedInvoiceDate_ID!$A$2:$B$12,2,FALSE)</f>
        <v>#N/A</v>
      </c>
      <c r="J58" s="1" t="e">
        <f>VLOOKUP(X58,[1]GrantOfRights_ID!$A$2:$B$7,2,FALSE)</f>
        <v>#N/A</v>
      </c>
      <c r="K58" s="1" t="str">
        <f>VLOOKUP(AE58,[1]Profile!$A$2:$B$8,2,FALSE)</f>
        <v>Hardware</v>
      </c>
      <c r="M58" s="1" t="str">
        <f>VLOOKUP(Y58,[1]License_Method_ID!$A$2:$B$13,2,FALSE)</f>
        <v>no technical license protection</v>
      </c>
      <c r="N58" s="1" t="s">
        <v>47</v>
      </c>
      <c r="O58" s="1">
        <v>10</v>
      </c>
      <c r="Q58" s="1" t="str">
        <f>VLOOKUP(AB58,[1]Operational_Profit_Type_ID!$A$2:$B$3,2,FALSE)</f>
        <v>Calculated</v>
      </c>
      <c r="R58" s="1" t="s">
        <v>55</v>
      </c>
      <c r="T58" s="1" t="str">
        <f>VLOOKUP(AD58,[1]UpdateRightID!$A$2:$B$4,2,FALSE)</f>
        <v>none</v>
      </c>
      <c r="U58" s="1" t="s">
        <v>48</v>
      </c>
      <c r="Y58" s="1">
        <v>0</v>
      </c>
      <c r="AB58" s="1">
        <v>2</v>
      </c>
      <c r="AD58" s="1">
        <v>0</v>
      </c>
      <c r="AE58" s="1">
        <v>6</v>
      </c>
    </row>
    <row r="59" spans="1:31" ht="165">
      <c r="B59" s="1" t="s">
        <v>189</v>
      </c>
      <c r="C59" t="s">
        <v>190</v>
      </c>
      <c r="D59" s="1" t="s">
        <v>191</v>
      </c>
      <c r="E59" s="1" t="e">
        <f>VLOOKUP(Z59,[1]LicenseDuration_ID!$A$2:$B$8,2,FALSE)</f>
        <v>#N/A</v>
      </c>
      <c r="F59" s="1" t="e">
        <f>VLOOKUP(AA59,[1]MaintenanceDuration_ID!$A$2:$B$5,2,FALSE)</f>
        <v>#N/A</v>
      </c>
      <c r="G59" s="1" t="e">
        <f>VLOOKUP(V59,[1]ExpectedDeliveryTime_ID!$A$2:$B$12,2,FALSE)</f>
        <v>#N/A</v>
      </c>
      <c r="H59" s="1" t="e">
        <f>VLOOKUP(AC59,[1]PaymentModel_ID!$A$2:$B$7,2,FALSE)</f>
        <v>#N/A</v>
      </c>
      <c r="I59" s="1" t="e">
        <f>VLOOKUP(W59,[1]ExpectedInvoiceDate_ID!$A$2:$B$12,2,FALSE)</f>
        <v>#N/A</v>
      </c>
      <c r="J59" s="1" t="e">
        <f>VLOOKUP(X59,[1]GrantOfRights_ID!$A$2:$B$7,2,FALSE)</f>
        <v>#N/A</v>
      </c>
      <c r="K59" s="1" t="str">
        <f>VLOOKUP(AE59,[1]Profile!$A$2:$B$8,2,FALSE)</f>
        <v>License</v>
      </c>
      <c r="M59" s="1" t="str">
        <f>VLOOKUP(Y59,[1]License_Method_ID!$A$2:$B$13,2,FALSE)</f>
        <v>no technical license protection</v>
      </c>
      <c r="O59" s="1">
        <v>10</v>
      </c>
      <c r="P59" s="1">
        <v>50</v>
      </c>
      <c r="Q59" s="1" t="str">
        <f>VLOOKUP(AB59,[1]Operational_Profit_Type_ID!$A$2:$B$3,2,FALSE)</f>
        <v>Fix rate</v>
      </c>
      <c r="R59" s="1" t="s">
        <v>55</v>
      </c>
      <c r="T59" s="1" t="str">
        <f>VLOOKUP(AD59,[1]UpdateRightID!$A$2:$B$4,2,FALSE)</f>
        <v>none</v>
      </c>
      <c r="U59" s="1" t="s">
        <v>48</v>
      </c>
      <c r="Y59" s="1">
        <v>0</v>
      </c>
      <c r="AB59" s="1">
        <v>1</v>
      </c>
      <c r="AD59" s="1">
        <v>0</v>
      </c>
      <c r="AE59" s="1">
        <v>1</v>
      </c>
    </row>
    <row r="60" spans="1:31">
      <c r="B60" s="1" t="s">
        <v>192</v>
      </c>
      <c r="C60" t="s">
        <v>193</v>
      </c>
      <c r="E60" s="1" t="e">
        <f>VLOOKUP(Z60,[1]LicenseDuration_ID!$A$2:$B$8,2,FALSE)</f>
        <v>#N/A</v>
      </c>
      <c r="F60" s="1" t="e">
        <f>VLOOKUP(AA60,[1]MaintenanceDuration_ID!$A$2:$B$5,2,FALSE)</f>
        <v>#N/A</v>
      </c>
      <c r="G60" s="1" t="e">
        <f>VLOOKUP(V60,[1]ExpectedDeliveryTime_ID!$A$2:$B$12,2,FALSE)</f>
        <v>#N/A</v>
      </c>
      <c r="H60" s="1" t="e">
        <f>VLOOKUP(AC60,[1]PaymentModel_ID!$A$2:$B$7,2,FALSE)</f>
        <v>#N/A</v>
      </c>
      <c r="I60" s="1" t="e">
        <f>VLOOKUP(W60,[1]ExpectedInvoiceDate_ID!$A$2:$B$12,2,FALSE)</f>
        <v>#N/A</v>
      </c>
      <c r="J60" s="1" t="e">
        <f>VLOOKUP(X60,[1]GrantOfRights_ID!$A$2:$B$7,2,FALSE)</f>
        <v>#N/A</v>
      </c>
      <c r="K60" s="1" t="str">
        <f>VLOOKUP(AE60,[1]Profile!$A$2:$B$8,2,FALSE)</f>
        <v>License</v>
      </c>
      <c r="M60" s="1" t="str">
        <f>VLOOKUP(Y60,[1]License_Method_ID!$A$2:$B$13,2,FALSE)</f>
        <v>no technical license protection</v>
      </c>
      <c r="O60" s="1">
        <v>10</v>
      </c>
      <c r="P60" s="1">
        <v>50</v>
      </c>
      <c r="Q60" s="1" t="str">
        <f>VLOOKUP(AB60,[1]Operational_Profit_Type_ID!$A$2:$B$3,2,FALSE)</f>
        <v>Fix rate</v>
      </c>
      <c r="R60" s="1" t="s">
        <v>55</v>
      </c>
      <c r="T60" s="1" t="str">
        <f>VLOOKUP(AD60,[1]UpdateRightID!$A$2:$B$4,2,FALSE)</f>
        <v>none</v>
      </c>
      <c r="U60" s="1" t="s">
        <v>48</v>
      </c>
      <c r="Y60" s="1">
        <v>0</v>
      </c>
      <c r="AB60" s="1">
        <v>1</v>
      </c>
      <c r="AD60" s="1">
        <v>0</v>
      </c>
      <c r="AE60" s="1">
        <v>1</v>
      </c>
    </row>
    <row r="61" spans="1:31" ht="75">
      <c r="B61" s="1" t="s">
        <v>194</v>
      </c>
      <c r="C61" t="s">
        <v>195</v>
      </c>
      <c r="E61" s="1" t="e">
        <f>VLOOKUP(Z61,[1]LicenseDuration_ID!$A$2:$B$8,2,FALSE)</f>
        <v>#N/A</v>
      </c>
      <c r="F61" s="1" t="e">
        <f>VLOOKUP(AA61,[1]MaintenanceDuration_ID!$A$2:$B$5,2,FALSE)</f>
        <v>#N/A</v>
      </c>
      <c r="G61" s="1" t="e">
        <f>VLOOKUP(V61,[1]ExpectedDeliveryTime_ID!$A$2:$B$12,2,FALSE)</f>
        <v>#N/A</v>
      </c>
      <c r="H61" s="1" t="e">
        <f>VLOOKUP(AC61,[1]PaymentModel_ID!$A$2:$B$7,2,FALSE)</f>
        <v>#N/A</v>
      </c>
      <c r="I61" s="1" t="e">
        <f>VLOOKUP(W61,[1]ExpectedInvoiceDate_ID!$A$2:$B$12,2,FALSE)</f>
        <v>#N/A</v>
      </c>
      <c r="J61" s="1" t="e">
        <f>VLOOKUP(X61,[1]GrantOfRights_ID!$A$2:$B$7,2,FALSE)</f>
        <v>#N/A</v>
      </c>
      <c r="K61" s="1" t="str">
        <f>VLOOKUP(AE61,[1]Profile!$A$2:$B$8,2,FALSE)</f>
        <v>Product related service without profile</v>
      </c>
      <c r="M61" s="1" t="str">
        <f>VLOOKUP(Y61,[1]License_Method_ID!$A$2:$B$13,2,FALSE)</f>
        <v>no technical license protection</v>
      </c>
      <c r="O61" s="1">
        <v>10</v>
      </c>
      <c r="Q61" s="1" t="str">
        <f>VLOOKUP(AB61,[1]Operational_Profit_Type_ID!$A$2:$B$3,2,FALSE)</f>
        <v>Calculated</v>
      </c>
      <c r="R61" s="1" t="s">
        <v>55</v>
      </c>
      <c r="T61" s="1" t="str">
        <f>VLOOKUP(AD61,[1]UpdateRightID!$A$2:$B$4,2,FALSE)</f>
        <v>none</v>
      </c>
      <c r="U61" s="1" t="s">
        <v>48</v>
      </c>
      <c r="Y61" s="1">
        <v>0</v>
      </c>
      <c r="AB61" s="1">
        <v>2</v>
      </c>
      <c r="AD61" s="1">
        <v>0</v>
      </c>
      <c r="AE61" s="1">
        <v>0</v>
      </c>
    </row>
    <row r="62" spans="1:31" ht="90">
      <c r="B62" s="1" t="s">
        <v>196</v>
      </c>
      <c r="C62" t="s">
        <v>197</v>
      </c>
      <c r="D62" s="1" t="s">
        <v>198</v>
      </c>
      <c r="E62" s="1" t="e">
        <f>VLOOKUP(Z62,[1]LicenseDuration_ID!$A$2:$B$8,2,FALSE)</f>
        <v>#N/A</v>
      </c>
      <c r="F62" s="1" t="e">
        <f>VLOOKUP(AA62,[1]MaintenanceDuration_ID!$A$2:$B$5,2,FALSE)</f>
        <v>#N/A</v>
      </c>
      <c r="G62" s="1" t="e">
        <f>VLOOKUP(V62,[1]ExpectedDeliveryTime_ID!$A$2:$B$12,2,FALSE)</f>
        <v>#N/A</v>
      </c>
      <c r="H62" s="1" t="e">
        <f>VLOOKUP(AC62,[1]PaymentModel_ID!$A$2:$B$7,2,FALSE)</f>
        <v>#N/A</v>
      </c>
      <c r="I62" s="1" t="e">
        <f>VLOOKUP(W62,[1]ExpectedInvoiceDate_ID!$A$2:$B$12,2,FALSE)</f>
        <v>#N/A</v>
      </c>
      <c r="J62" s="1" t="e">
        <f>VLOOKUP(X62,[1]GrantOfRights_ID!$A$2:$B$7,2,FALSE)</f>
        <v>#N/A</v>
      </c>
      <c r="K62" s="1" t="str">
        <f>VLOOKUP(AE62,[1]Profile!$A$2:$B$8,2,FALSE)</f>
        <v>Integration Package</v>
      </c>
      <c r="M62" s="1" t="str">
        <f>VLOOKUP(Y62,[1]License_Method_ID!$A$2:$B$13,2,FALSE)</f>
        <v>no technical license protection</v>
      </c>
      <c r="O62" s="1">
        <v>10</v>
      </c>
      <c r="P62" s="1">
        <v>50</v>
      </c>
      <c r="Q62" s="1" t="str">
        <f>VLOOKUP(AB62,[1]Operational_Profit_Type_ID!$A$2:$B$3,2,FALSE)</f>
        <v>Fix rate</v>
      </c>
      <c r="R62" s="1" t="s">
        <v>55</v>
      </c>
      <c r="T62" s="1" t="str">
        <f>VLOOKUP(AD62,[1]UpdateRightID!$A$2:$B$4,2,FALSE)</f>
        <v>none</v>
      </c>
      <c r="U62" s="1" t="s">
        <v>48</v>
      </c>
      <c r="Y62" s="1">
        <v>0</v>
      </c>
      <c r="AB62" s="1">
        <v>1</v>
      </c>
      <c r="AD62" s="1">
        <v>0</v>
      </c>
      <c r="AE62" s="1">
        <v>2</v>
      </c>
    </row>
    <row r="63" spans="1:31" ht="45">
      <c r="B63" s="1" t="s">
        <v>199</v>
      </c>
      <c r="C63" t="s">
        <v>200</v>
      </c>
      <c r="D63" s="1" t="s">
        <v>201</v>
      </c>
      <c r="E63" s="1" t="e">
        <f>VLOOKUP(Z63,[1]LicenseDuration_ID!$A$2:$B$8,2,FALSE)</f>
        <v>#N/A</v>
      </c>
      <c r="F63" s="1" t="e">
        <f>VLOOKUP(AA63,[1]MaintenanceDuration_ID!$A$2:$B$5,2,FALSE)</f>
        <v>#N/A</v>
      </c>
      <c r="G63" s="1" t="e">
        <f>VLOOKUP(V63,[1]ExpectedDeliveryTime_ID!$A$2:$B$12,2,FALSE)</f>
        <v>#N/A</v>
      </c>
      <c r="H63" s="1" t="e">
        <f>VLOOKUP(AC63,[1]PaymentModel_ID!$A$2:$B$7,2,FALSE)</f>
        <v>#N/A</v>
      </c>
      <c r="I63" s="1" t="e">
        <f>VLOOKUP(W63,[1]ExpectedInvoiceDate_ID!$A$2:$B$12,2,FALSE)</f>
        <v>#N/A</v>
      </c>
      <c r="J63" s="1" t="e">
        <f>VLOOKUP(X63,[1]GrantOfRights_ID!$A$2:$B$7,2,FALSE)</f>
        <v>#N/A</v>
      </c>
      <c r="K63" s="1" t="str">
        <f>VLOOKUP(AE63,[1]Profile!$A$2:$B$8,2,FALSE)</f>
        <v>Integration Package</v>
      </c>
      <c r="M63" s="1" t="str">
        <f>VLOOKUP(Y63,[1]License_Method_ID!$A$2:$B$13,2,FALSE)</f>
        <v>no technical license protection</v>
      </c>
      <c r="O63" s="1">
        <v>10</v>
      </c>
      <c r="P63" s="1">
        <v>50</v>
      </c>
      <c r="Q63" s="1" t="str">
        <f>VLOOKUP(AB63,[1]Operational_Profit_Type_ID!$A$2:$B$3,2,FALSE)</f>
        <v>Fix rate</v>
      </c>
      <c r="R63" s="1" t="s">
        <v>55</v>
      </c>
      <c r="T63" s="1" t="str">
        <f>VLOOKUP(AD63,[1]UpdateRightID!$A$2:$B$4,2,FALSE)</f>
        <v>none</v>
      </c>
      <c r="U63" s="1" t="s">
        <v>48</v>
      </c>
      <c r="Y63" s="1">
        <v>0</v>
      </c>
      <c r="AB63" s="1">
        <v>1</v>
      </c>
      <c r="AD63" s="1">
        <v>0</v>
      </c>
      <c r="AE63" s="1">
        <v>2</v>
      </c>
    </row>
    <row r="64" spans="1:31">
      <c r="B64" s="1" t="s">
        <v>202</v>
      </c>
      <c r="C64" t="s">
        <v>203</v>
      </c>
      <c r="E64" s="1" t="e">
        <f>VLOOKUP(Z64,[1]LicenseDuration_ID!$A$2:$B$8,2,FALSE)</f>
        <v>#N/A</v>
      </c>
      <c r="F64" s="1" t="e">
        <f>VLOOKUP(AA64,[1]MaintenanceDuration_ID!$A$2:$B$5,2,FALSE)</f>
        <v>#N/A</v>
      </c>
      <c r="G64" s="1" t="e">
        <f>VLOOKUP(V64,[1]ExpectedDeliveryTime_ID!$A$2:$B$12,2,FALSE)</f>
        <v>#N/A</v>
      </c>
      <c r="H64" s="1" t="e">
        <f>VLOOKUP(AC64,[1]PaymentModel_ID!$A$2:$B$7,2,FALSE)</f>
        <v>#N/A</v>
      </c>
      <c r="I64" s="1" t="e">
        <f>VLOOKUP(W64,[1]ExpectedInvoiceDate_ID!$A$2:$B$12,2,FALSE)</f>
        <v>#N/A</v>
      </c>
      <c r="J64" s="1" t="e">
        <f>VLOOKUP(X64,[1]GrantOfRights_ID!$A$2:$B$7,2,FALSE)</f>
        <v>#N/A</v>
      </c>
      <c r="K64" s="1" t="str">
        <f>VLOOKUP(AE64,[1]Profile!$A$2:$B$8,2,FALSE)</f>
        <v>Training</v>
      </c>
      <c r="M64" s="1" t="str">
        <f>VLOOKUP(Y64,[1]License_Method_ID!$A$2:$B$13,2,FALSE)</f>
        <v>no technical license protection</v>
      </c>
      <c r="N64" s="1" t="s">
        <v>47</v>
      </c>
      <c r="O64" s="1">
        <v>10</v>
      </c>
      <c r="Q64" s="1" t="str">
        <f>VLOOKUP(AB64,[1]Operational_Profit_Type_ID!$A$2:$B$3,2,FALSE)</f>
        <v>Calculated</v>
      </c>
      <c r="R64" s="1" t="s">
        <v>55</v>
      </c>
      <c r="T64" s="1" t="str">
        <f>VLOOKUP(AD64,[1]UpdateRightID!$A$2:$B$4,2,FALSE)</f>
        <v>none</v>
      </c>
      <c r="U64" s="1" t="s">
        <v>48</v>
      </c>
      <c r="Y64" s="1">
        <v>0</v>
      </c>
      <c r="AB64" s="1">
        <v>2</v>
      </c>
      <c r="AD64" s="1">
        <v>0</v>
      </c>
      <c r="AE64" s="1">
        <v>5</v>
      </c>
    </row>
    <row r="65" spans="2:31" ht="45">
      <c r="B65" s="1" t="s">
        <v>204</v>
      </c>
      <c r="C65" t="s">
        <v>205</v>
      </c>
      <c r="D65" s="1" t="s">
        <v>206</v>
      </c>
      <c r="E65" s="1" t="e">
        <f>VLOOKUP(Z65,[1]LicenseDuration_ID!$A$2:$B$8,2,FALSE)</f>
        <v>#N/A</v>
      </c>
      <c r="F65" s="1" t="e">
        <f>VLOOKUP(AA65,[1]MaintenanceDuration_ID!$A$2:$B$5,2,FALSE)</f>
        <v>#N/A</v>
      </c>
      <c r="G65" s="1" t="e">
        <f>VLOOKUP(V65,[1]ExpectedDeliveryTime_ID!$A$2:$B$12,2,FALSE)</f>
        <v>#N/A</v>
      </c>
      <c r="H65" s="1" t="e">
        <f>VLOOKUP(AC65,[1]PaymentModel_ID!$A$2:$B$7,2,FALSE)</f>
        <v>#N/A</v>
      </c>
      <c r="I65" s="1" t="e">
        <f>VLOOKUP(W65,[1]ExpectedInvoiceDate_ID!$A$2:$B$12,2,FALSE)</f>
        <v>#N/A</v>
      </c>
      <c r="J65" s="1" t="e">
        <f>VLOOKUP(X65,[1]GrantOfRights_ID!$A$2:$B$7,2,FALSE)</f>
        <v>#N/A</v>
      </c>
      <c r="K65" s="1" t="str">
        <f>VLOOKUP(AE65,[1]Profile!$A$2:$B$8,2,FALSE)</f>
        <v>Porting</v>
      </c>
      <c r="M65" s="1" t="str">
        <f>VLOOKUP(Y65,[1]License_Method_ID!$A$2:$B$13,2,FALSE)</f>
        <v>no technical license protection</v>
      </c>
      <c r="N65" s="1" t="s">
        <v>88</v>
      </c>
      <c r="O65" s="1">
        <v>10</v>
      </c>
      <c r="Q65" s="1" t="str">
        <f>VLOOKUP(AB65,[1]Operational_Profit_Type_ID!$A$2:$B$3,2,FALSE)</f>
        <v>Calculated</v>
      </c>
      <c r="R65" s="1" t="s">
        <v>55</v>
      </c>
      <c r="T65" s="1" t="str">
        <f>VLOOKUP(AD65,[1]UpdateRightID!$A$2:$B$4,2,FALSE)</f>
        <v>none</v>
      </c>
      <c r="U65" s="1" t="s">
        <v>48</v>
      </c>
      <c r="Y65" s="1">
        <v>0</v>
      </c>
      <c r="AB65" s="1">
        <v>2</v>
      </c>
      <c r="AD65" s="1">
        <v>0</v>
      </c>
      <c r="AE65" s="1">
        <v>4</v>
      </c>
    </row>
    <row r="66" spans="2:31">
      <c r="B66" s="1" t="s">
        <v>207</v>
      </c>
      <c r="C66" t="s">
        <v>208</v>
      </c>
      <c r="E66" s="1" t="e">
        <f>VLOOKUP(Z66,[1]LicenseDuration_ID!$A$2:$B$8,2,FALSE)</f>
        <v>#N/A</v>
      </c>
      <c r="F66" s="1" t="e">
        <f>VLOOKUP(AA66,[1]MaintenanceDuration_ID!$A$2:$B$5,2,FALSE)</f>
        <v>#N/A</v>
      </c>
      <c r="G66" s="1" t="e">
        <f>VLOOKUP(V66,[1]ExpectedDeliveryTime_ID!$A$2:$B$12,2,FALSE)</f>
        <v>#N/A</v>
      </c>
      <c r="H66" s="1" t="e">
        <f>VLOOKUP(AC66,[1]PaymentModel_ID!$A$2:$B$7,2,FALSE)</f>
        <v>#N/A</v>
      </c>
      <c r="I66" s="1" t="e">
        <f>VLOOKUP(W66,[1]ExpectedInvoiceDate_ID!$A$2:$B$12,2,FALSE)</f>
        <v>#N/A</v>
      </c>
      <c r="J66" s="1" t="e">
        <f>VLOOKUP(X66,[1]GrantOfRights_ID!$A$2:$B$7,2,FALSE)</f>
        <v>#N/A</v>
      </c>
      <c r="K66" s="1" t="str">
        <f>VLOOKUP(AE66,[1]Profile!$A$2:$B$8,2,FALSE)</f>
        <v>License</v>
      </c>
      <c r="M66" s="1" t="str">
        <f>VLOOKUP(Y66,[1]License_Method_ID!$A$2:$B$13,2,FALSE)</f>
        <v>no technical license protection</v>
      </c>
      <c r="O66" s="1">
        <v>10</v>
      </c>
      <c r="P66" s="1">
        <v>50</v>
      </c>
      <c r="Q66" s="1" t="str">
        <f>VLOOKUP(AB66,[1]Operational_Profit_Type_ID!$A$2:$B$3,2,FALSE)</f>
        <v>Fix rate</v>
      </c>
      <c r="R66" s="1" t="s">
        <v>55</v>
      </c>
      <c r="T66" s="1" t="str">
        <f>VLOOKUP(AD66,[1]UpdateRightID!$A$2:$B$4,2,FALSE)</f>
        <v>none</v>
      </c>
      <c r="U66" s="1" t="s">
        <v>48</v>
      </c>
      <c r="Y66" s="1">
        <v>0</v>
      </c>
      <c r="AB66" s="1">
        <v>1</v>
      </c>
      <c r="AD66" s="1">
        <v>0</v>
      </c>
      <c r="AE66" s="1">
        <v>1</v>
      </c>
    </row>
    <row r="67" spans="2:31" ht="285">
      <c r="B67" s="1" t="s">
        <v>209</v>
      </c>
      <c r="C67" t="s">
        <v>210</v>
      </c>
      <c r="D67" s="1" t="s">
        <v>211</v>
      </c>
      <c r="E67" s="1" t="e">
        <f>VLOOKUP(Z67,[1]LicenseDuration_ID!$A$2:$B$8,2,FALSE)</f>
        <v>#N/A</v>
      </c>
      <c r="F67" s="1" t="e">
        <f>VLOOKUP(AA67,[1]MaintenanceDuration_ID!$A$2:$B$5,2,FALSE)</f>
        <v>#N/A</v>
      </c>
      <c r="G67" s="1" t="e">
        <f>VLOOKUP(V67,[1]ExpectedDeliveryTime_ID!$A$2:$B$12,2,FALSE)</f>
        <v>#N/A</v>
      </c>
      <c r="H67" s="1" t="e">
        <f>VLOOKUP(AC67,[1]PaymentModel_ID!$A$2:$B$7,2,FALSE)</f>
        <v>#N/A</v>
      </c>
      <c r="I67" s="1" t="e">
        <f>VLOOKUP(W67,[1]ExpectedInvoiceDate_ID!$A$2:$B$12,2,FALSE)</f>
        <v>#N/A</v>
      </c>
      <c r="J67" s="1" t="e">
        <f>VLOOKUP(X67,[1]GrantOfRights_ID!$A$2:$B$7,2,FALSE)</f>
        <v>#N/A</v>
      </c>
      <c r="K67" s="1" t="str">
        <f>VLOOKUP(AE67,[1]Profile!$A$2:$B$8,2,FALSE)</f>
        <v>License</v>
      </c>
      <c r="M67" s="1" t="str">
        <f>VLOOKUP(Y67,[1]License_Method_ID!$A$2:$B$13,2,FALSE)</f>
        <v>no technical license protection</v>
      </c>
      <c r="O67" s="1">
        <v>10</v>
      </c>
      <c r="P67" s="1">
        <v>50</v>
      </c>
      <c r="Q67" s="1" t="str">
        <f>VLOOKUP(AB67,[1]Operational_Profit_Type_ID!$A$2:$B$3,2,FALSE)</f>
        <v>Fix rate</v>
      </c>
      <c r="R67" s="1" t="s">
        <v>55</v>
      </c>
      <c r="T67" s="1" t="str">
        <f>VLOOKUP(AD67,[1]UpdateRightID!$A$2:$B$4,2,FALSE)</f>
        <v>none</v>
      </c>
      <c r="U67" s="1" t="s">
        <v>48</v>
      </c>
      <c r="Y67" s="1">
        <v>0</v>
      </c>
      <c r="AB67" s="1">
        <v>1</v>
      </c>
      <c r="AD67" s="1">
        <v>0</v>
      </c>
      <c r="AE67" s="1">
        <v>1</v>
      </c>
    </row>
    <row r="68" spans="2:31" ht="75">
      <c r="B68" s="1" t="s">
        <v>212</v>
      </c>
      <c r="C68" t="s">
        <v>213</v>
      </c>
      <c r="E68" s="1" t="e">
        <f>VLOOKUP(Z68,[1]LicenseDuration_ID!$A$2:$B$8,2,FALSE)</f>
        <v>#N/A</v>
      </c>
      <c r="F68" s="1" t="e">
        <f>VLOOKUP(AA68,[1]MaintenanceDuration_ID!$A$2:$B$5,2,FALSE)</f>
        <v>#N/A</v>
      </c>
      <c r="G68" s="1" t="e">
        <f>VLOOKUP(V68,[1]ExpectedDeliveryTime_ID!$A$2:$B$12,2,FALSE)</f>
        <v>#N/A</v>
      </c>
      <c r="H68" s="1" t="e">
        <f>VLOOKUP(AC68,[1]PaymentModel_ID!$A$2:$B$7,2,FALSE)</f>
        <v>#N/A</v>
      </c>
      <c r="I68" s="1" t="e">
        <f>VLOOKUP(W68,[1]ExpectedInvoiceDate_ID!$A$2:$B$12,2,FALSE)</f>
        <v>#N/A</v>
      </c>
      <c r="J68" s="1" t="e">
        <f>VLOOKUP(X68,[1]GrantOfRights_ID!$A$2:$B$7,2,FALSE)</f>
        <v>#N/A</v>
      </c>
      <c r="K68" s="1" t="str">
        <f>VLOOKUP(AE68,[1]Profile!$A$2:$B$8,2,FALSE)</f>
        <v>Product related service without profile</v>
      </c>
      <c r="M68" s="1" t="str">
        <f>VLOOKUP(Y68,[1]License_Method_ID!$A$2:$B$13,2,FALSE)</f>
        <v>no technical license protection</v>
      </c>
      <c r="O68" s="1">
        <v>10</v>
      </c>
      <c r="Q68" s="1" t="str">
        <f>VLOOKUP(AB68,[1]Operational_Profit_Type_ID!$A$2:$B$3,2,FALSE)</f>
        <v>Calculated</v>
      </c>
      <c r="R68" s="1" t="s">
        <v>55</v>
      </c>
      <c r="T68" s="1" t="str">
        <f>VLOOKUP(AD68,[1]UpdateRightID!$A$2:$B$4,2,FALSE)</f>
        <v>none</v>
      </c>
      <c r="U68" s="1" t="s">
        <v>48</v>
      </c>
      <c r="Y68" s="1">
        <v>0</v>
      </c>
      <c r="AB68" s="1">
        <v>2</v>
      </c>
      <c r="AD68" s="1">
        <v>0</v>
      </c>
      <c r="AE68" s="1">
        <v>0</v>
      </c>
    </row>
    <row r="69" spans="2:31" ht="75">
      <c r="B69" s="1" t="s">
        <v>214</v>
      </c>
      <c r="C69" t="s">
        <v>215</v>
      </c>
      <c r="E69" s="1" t="e">
        <f>VLOOKUP(Z69,[1]LicenseDuration_ID!$A$2:$B$8,2,FALSE)</f>
        <v>#N/A</v>
      </c>
      <c r="F69" s="1" t="e">
        <f>VLOOKUP(AA69,[1]MaintenanceDuration_ID!$A$2:$B$5,2,FALSE)</f>
        <v>#N/A</v>
      </c>
      <c r="G69" s="1" t="e">
        <f>VLOOKUP(V69,[1]ExpectedDeliveryTime_ID!$A$2:$B$12,2,FALSE)</f>
        <v>#N/A</v>
      </c>
      <c r="H69" s="1" t="e">
        <f>VLOOKUP(AC69,[1]PaymentModel_ID!$A$2:$B$7,2,FALSE)</f>
        <v>#N/A</v>
      </c>
      <c r="I69" s="1" t="e">
        <f>VLOOKUP(W69,[1]ExpectedInvoiceDate_ID!$A$2:$B$12,2,FALSE)</f>
        <v>#N/A</v>
      </c>
      <c r="J69" s="1" t="e">
        <f>VLOOKUP(X69,[1]GrantOfRights_ID!$A$2:$B$7,2,FALSE)</f>
        <v>#N/A</v>
      </c>
      <c r="K69" s="1" t="str">
        <f>VLOOKUP(AE69,[1]Profile!$A$2:$B$8,2,FALSE)</f>
        <v>Product related service without profile</v>
      </c>
      <c r="M69" s="1" t="str">
        <f>VLOOKUP(Y69,[1]License_Method_ID!$A$2:$B$13,2,FALSE)</f>
        <v>no technical license protection</v>
      </c>
      <c r="O69" s="1">
        <v>10</v>
      </c>
      <c r="Q69" s="1" t="str">
        <f>VLOOKUP(AB69,[1]Operational_Profit_Type_ID!$A$2:$B$3,2,FALSE)</f>
        <v>Calculated</v>
      </c>
      <c r="R69" s="1" t="s">
        <v>55</v>
      </c>
      <c r="T69" s="1" t="str">
        <f>VLOOKUP(AD69,[1]UpdateRightID!$A$2:$B$4,2,FALSE)</f>
        <v>none</v>
      </c>
      <c r="U69" s="1" t="s">
        <v>48</v>
      </c>
      <c r="Y69" s="1">
        <v>0</v>
      </c>
      <c r="AB69" s="1">
        <v>2</v>
      </c>
      <c r="AD69" s="1">
        <v>0</v>
      </c>
      <c r="AE69" s="1">
        <v>0</v>
      </c>
    </row>
    <row r="70" spans="2:31">
      <c r="B70" s="1" t="s">
        <v>216</v>
      </c>
      <c r="C70" t="s">
        <v>217</v>
      </c>
      <c r="E70" s="1" t="e">
        <f>VLOOKUP(Z70,[1]LicenseDuration_ID!$A$2:$B$8,2,FALSE)</f>
        <v>#N/A</v>
      </c>
      <c r="F70" s="1" t="e">
        <f>VLOOKUP(AA70,[1]MaintenanceDuration_ID!$A$2:$B$5,2,FALSE)</f>
        <v>#N/A</v>
      </c>
      <c r="G70" s="1" t="e">
        <f>VLOOKUP(V70,[1]ExpectedDeliveryTime_ID!$A$2:$B$12,2,FALSE)</f>
        <v>#N/A</v>
      </c>
      <c r="H70" s="1" t="e">
        <f>VLOOKUP(AC70,[1]PaymentModel_ID!$A$2:$B$7,2,FALSE)</f>
        <v>#N/A</v>
      </c>
      <c r="I70" s="1" t="e">
        <f>VLOOKUP(W70,[1]ExpectedInvoiceDate_ID!$A$2:$B$12,2,FALSE)</f>
        <v>#N/A</v>
      </c>
      <c r="J70" s="1" t="e">
        <f>VLOOKUP(X70,[1]GrantOfRights_ID!$A$2:$B$7,2,FALSE)</f>
        <v>#N/A</v>
      </c>
      <c r="K70" s="1" t="str">
        <f>VLOOKUP(AE70,[1]Profile!$A$2:$B$8,2,FALSE)</f>
        <v>License</v>
      </c>
      <c r="M70" s="1" t="str">
        <f>VLOOKUP(Y70,[1]License_Method_ID!$A$2:$B$13,2,FALSE)</f>
        <v>no technical license protection</v>
      </c>
      <c r="N70" s="1" t="s">
        <v>47</v>
      </c>
      <c r="O70" s="1">
        <v>10</v>
      </c>
      <c r="P70" s="1">
        <v>50</v>
      </c>
      <c r="Q70" s="1" t="str">
        <f>VLOOKUP(AB70,[1]Operational_Profit_Type_ID!$A$2:$B$3,2,FALSE)</f>
        <v>Fix rate</v>
      </c>
      <c r="R70" s="1" t="s">
        <v>55</v>
      </c>
      <c r="T70" s="1" t="str">
        <f>VLOOKUP(AD70,[1]UpdateRightID!$A$2:$B$4,2,FALSE)</f>
        <v>none</v>
      </c>
      <c r="U70" s="1" t="s">
        <v>48</v>
      </c>
      <c r="Y70" s="1">
        <v>0</v>
      </c>
      <c r="AB70" s="1">
        <v>1</v>
      </c>
      <c r="AD70" s="1">
        <v>0</v>
      </c>
      <c r="AE70" s="1">
        <v>1</v>
      </c>
    </row>
    <row r="71" spans="2:31" ht="105">
      <c r="B71" s="1" t="s">
        <v>218</v>
      </c>
      <c r="C71" t="s">
        <v>219</v>
      </c>
      <c r="D71" s="1" t="s">
        <v>220</v>
      </c>
      <c r="E71" s="1" t="e">
        <f>VLOOKUP(Z71,[1]LicenseDuration_ID!$A$2:$B$8,2,FALSE)</f>
        <v>#N/A</v>
      </c>
      <c r="F71" s="1" t="e">
        <f>VLOOKUP(AA71,[1]MaintenanceDuration_ID!$A$2:$B$5,2,FALSE)</f>
        <v>#N/A</v>
      </c>
      <c r="G71" s="1" t="e">
        <f>VLOOKUP(V71,[1]ExpectedDeliveryTime_ID!$A$2:$B$12,2,FALSE)</f>
        <v>#N/A</v>
      </c>
      <c r="H71" s="1" t="e">
        <f>VLOOKUP(AC71,[1]PaymentModel_ID!$A$2:$B$7,2,FALSE)</f>
        <v>#N/A</v>
      </c>
      <c r="I71" s="1" t="e">
        <f>VLOOKUP(W71,[1]ExpectedInvoiceDate_ID!$A$2:$B$12,2,FALSE)</f>
        <v>#N/A</v>
      </c>
      <c r="J71" s="1" t="e">
        <f>VLOOKUP(X71,[1]GrantOfRights_ID!$A$2:$B$7,2,FALSE)</f>
        <v>#N/A</v>
      </c>
      <c r="K71" s="1" t="str">
        <f>VLOOKUP(AE71,[1]Profile!$A$2:$B$8,2,FALSE)</f>
        <v>License</v>
      </c>
      <c r="M71" s="1" t="str">
        <f>VLOOKUP(Y71,[1]License_Method_ID!$A$2:$B$13,2,FALSE)</f>
        <v>no technical license protection</v>
      </c>
      <c r="O71" s="1">
        <v>10</v>
      </c>
      <c r="P71" s="1">
        <v>50</v>
      </c>
      <c r="Q71" s="1" t="str">
        <f>VLOOKUP(AB71,[1]Operational_Profit_Type_ID!$A$2:$B$3,2,FALSE)</f>
        <v>Fix rate</v>
      </c>
      <c r="R71" s="1" t="s">
        <v>55</v>
      </c>
      <c r="T71" s="1" t="str">
        <f>VLOOKUP(AD71,[1]UpdateRightID!$A$2:$B$4,2,FALSE)</f>
        <v>none</v>
      </c>
      <c r="U71" s="1" t="s">
        <v>48</v>
      </c>
      <c r="Y71" s="1">
        <v>0</v>
      </c>
      <c r="AB71" s="1">
        <v>1</v>
      </c>
      <c r="AD71" s="1">
        <v>0</v>
      </c>
      <c r="AE71" s="1">
        <v>1</v>
      </c>
    </row>
    <row r="72" spans="2:31">
      <c r="B72" s="1" t="s">
        <v>221</v>
      </c>
      <c r="C72" t="s">
        <v>222</v>
      </c>
      <c r="E72" s="1" t="e">
        <f>VLOOKUP(Z72,[1]LicenseDuration_ID!$A$2:$B$8,2,FALSE)</f>
        <v>#N/A</v>
      </c>
      <c r="F72" s="1" t="e">
        <f>VLOOKUP(AA72,[1]MaintenanceDuration_ID!$A$2:$B$5,2,FALSE)</f>
        <v>#N/A</v>
      </c>
      <c r="G72" s="1" t="e">
        <f>VLOOKUP(V72,[1]ExpectedDeliveryTime_ID!$A$2:$B$12,2,FALSE)</f>
        <v>#N/A</v>
      </c>
      <c r="H72" s="1" t="e">
        <f>VLOOKUP(AC72,[1]PaymentModel_ID!$A$2:$B$7,2,FALSE)</f>
        <v>#N/A</v>
      </c>
      <c r="I72" s="1" t="e">
        <f>VLOOKUP(W72,[1]ExpectedInvoiceDate_ID!$A$2:$B$12,2,FALSE)</f>
        <v>#N/A</v>
      </c>
      <c r="J72" s="1" t="e">
        <f>VLOOKUP(X72,[1]GrantOfRights_ID!$A$2:$B$7,2,FALSE)</f>
        <v>#N/A</v>
      </c>
      <c r="K72" s="1" t="str">
        <f>VLOOKUP(AE72,[1]Profile!$A$2:$B$8,2,FALSE)</f>
        <v>License</v>
      </c>
      <c r="M72" s="1" t="str">
        <f>VLOOKUP(Y72,[1]License_Method_ID!$A$2:$B$13,2,FALSE)</f>
        <v>no technical license protection</v>
      </c>
      <c r="O72" s="1">
        <v>10</v>
      </c>
      <c r="P72" s="1">
        <v>50</v>
      </c>
      <c r="Q72" s="1" t="str">
        <f>VLOOKUP(AB72,[1]Operational_Profit_Type_ID!$A$2:$B$3,2,FALSE)</f>
        <v>Fix rate</v>
      </c>
      <c r="R72" s="1" t="s">
        <v>55</v>
      </c>
      <c r="T72" s="1" t="str">
        <f>VLOOKUP(AD72,[1]UpdateRightID!$A$2:$B$4,2,FALSE)</f>
        <v>none</v>
      </c>
      <c r="U72" s="1" t="s">
        <v>48</v>
      </c>
      <c r="Y72" s="1">
        <v>0</v>
      </c>
      <c r="AB72" s="1">
        <v>1</v>
      </c>
      <c r="AD72" s="1">
        <v>0</v>
      </c>
      <c r="AE72" s="1">
        <v>1</v>
      </c>
    </row>
    <row r="73" spans="2:31" ht="45">
      <c r="B73" s="1" t="s">
        <v>223</v>
      </c>
      <c r="C73" t="s">
        <v>224</v>
      </c>
      <c r="D73" s="1" t="s">
        <v>225</v>
      </c>
      <c r="E73" s="1" t="e">
        <f>VLOOKUP(Z73,[1]LicenseDuration_ID!$A$2:$B$8,2,FALSE)</f>
        <v>#N/A</v>
      </c>
      <c r="F73" s="1" t="e">
        <f>VLOOKUP(AA73,[1]MaintenanceDuration_ID!$A$2:$B$5,2,FALSE)</f>
        <v>#N/A</v>
      </c>
      <c r="G73" s="1" t="e">
        <f>VLOOKUP(V73,[1]ExpectedDeliveryTime_ID!$A$2:$B$12,2,FALSE)</f>
        <v>#N/A</v>
      </c>
      <c r="H73" s="1" t="e">
        <f>VLOOKUP(AC73,[1]PaymentModel_ID!$A$2:$B$7,2,FALSE)</f>
        <v>#N/A</v>
      </c>
      <c r="I73" s="1" t="e">
        <f>VLOOKUP(W73,[1]ExpectedInvoiceDate_ID!$A$2:$B$12,2,FALSE)</f>
        <v>#N/A</v>
      </c>
      <c r="J73" s="1" t="e">
        <f>VLOOKUP(X73,[1]GrantOfRights_ID!$A$2:$B$7,2,FALSE)</f>
        <v>#N/A</v>
      </c>
      <c r="K73" s="1" t="str">
        <f>VLOOKUP(AE73,[1]Profile!$A$2:$B$8,2,FALSE)</f>
        <v>License</v>
      </c>
      <c r="M73" s="1" t="str">
        <f>VLOOKUP(Y73,[1]License_Method_ID!$A$2:$B$13,2,FALSE)</f>
        <v>no technical license protection</v>
      </c>
      <c r="N73" s="1" t="s">
        <v>47</v>
      </c>
      <c r="O73" s="1">
        <v>10</v>
      </c>
      <c r="P73" s="1">
        <v>50</v>
      </c>
      <c r="Q73" s="1" t="str">
        <f>VLOOKUP(AB73,[1]Operational_Profit_Type_ID!$A$2:$B$3,2,FALSE)</f>
        <v>Fix rate</v>
      </c>
      <c r="R73" s="1" t="s">
        <v>55</v>
      </c>
      <c r="T73" s="1" t="str">
        <f>VLOOKUP(AD73,[1]UpdateRightID!$A$2:$B$4,2,FALSE)</f>
        <v>none</v>
      </c>
      <c r="U73" s="1" t="s">
        <v>48</v>
      </c>
      <c r="Y73" s="1">
        <v>0</v>
      </c>
      <c r="AB73" s="1">
        <v>1</v>
      </c>
      <c r="AD73" s="1">
        <v>0</v>
      </c>
      <c r="AE73" s="1">
        <v>1</v>
      </c>
    </row>
    <row r="74" spans="2:31" ht="45">
      <c r="B74" s="1" t="s">
        <v>226</v>
      </c>
      <c r="C74" t="s">
        <v>227</v>
      </c>
      <c r="D74" s="1" t="s">
        <v>228</v>
      </c>
      <c r="E74" s="1" t="e">
        <f>VLOOKUP(Z74,[1]LicenseDuration_ID!$A$2:$B$8,2,FALSE)</f>
        <v>#N/A</v>
      </c>
      <c r="F74" s="1" t="e">
        <f>VLOOKUP(AA74,[1]MaintenanceDuration_ID!$A$2:$B$5,2,FALSE)</f>
        <v>#N/A</v>
      </c>
      <c r="G74" s="1" t="e">
        <f>VLOOKUP(V74,[1]ExpectedDeliveryTime_ID!$A$2:$B$12,2,FALSE)</f>
        <v>#N/A</v>
      </c>
      <c r="H74" s="1" t="e">
        <f>VLOOKUP(AC74,[1]PaymentModel_ID!$A$2:$B$7,2,FALSE)</f>
        <v>#N/A</v>
      </c>
      <c r="I74" s="1" t="e">
        <f>VLOOKUP(W74,[1]ExpectedInvoiceDate_ID!$A$2:$B$12,2,FALSE)</f>
        <v>#N/A</v>
      </c>
      <c r="J74" s="1" t="e">
        <f>VLOOKUP(X74,[1]GrantOfRights_ID!$A$2:$B$7,2,FALSE)</f>
        <v>#N/A</v>
      </c>
      <c r="K74" s="1" t="str">
        <f>VLOOKUP(AE74,[1]Profile!$A$2:$B$8,2,FALSE)</f>
        <v>License</v>
      </c>
      <c r="M74" s="1" t="str">
        <f>VLOOKUP(Y74,[1]License_Method_ID!$A$2:$B$13,2,FALSE)</f>
        <v>no technical license protection</v>
      </c>
      <c r="O74" s="1">
        <v>10</v>
      </c>
      <c r="P74" s="1">
        <v>50</v>
      </c>
      <c r="Q74" s="1" t="str">
        <f>VLOOKUP(AB74,[1]Operational_Profit_Type_ID!$A$2:$B$3,2,FALSE)</f>
        <v>Fix rate</v>
      </c>
      <c r="R74" s="1" t="s">
        <v>55</v>
      </c>
      <c r="T74" s="1" t="str">
        <f>VLOOKUP(AD74,[1]UpdateRightID!$A$2:$B$4,2,FALSE)</f>
        <v>none</v>
      </c>
      <c r="U74" s="1" t="s">
        <v>48</v>
      </c>
      <c r="Y74" s="1">
        <v>0</v>
      </c>
      <c r="AB74" s="1">
        <v>1</v>
      </c>
      <c r="AD74" s="1">
        <v>0</v>
      </c>
      <c r="AE74" s="1">
        <v>1</v>
      </c>
    </row>
    <row r="75" spans="2:31" ht="165">
      <c r="B75" s="1" t="s">
        <v>229</v>
      </c>
      <c r="C75" t="s">
        <v>230</v>
      </c>
      <c r="D75" s="1" t="s">
        <v>133</v>
      </c>
      <c r="E75" s="1" t="e">
        <f>VLOOKUP(Z75,[1]LicenseDuration_ID!$A$2:$B$8,2,FALSE)</f>
        <v>#N/A</v>
      </c>
      <c r="F75" s="1" t="e">
        <f>VLOOKUP(AA75,[1]MaintenanceDuration_ID!$A$2:$B$5,2,FALSE)</f>
        <v>#N/A</v>
      </c>
      <c r="G75" s="1" t="e">
        <f>VLOOKUP(V75,[1]ExpectedDeliveryTime_ID!$A$2:$B$12,2,FALSE)</f>
        <v>#N/A</v>
      </c>
      <c r="H75" s="1" t="e">
        <f>VLOOKUP(AC75,[1]PaymentModel_ID!$A$2:$B$7,2,FALSE)</f>
        <v>#N/A</v>
      </c>
      <c r="I75" s="1" t="e">
        <f>VLOOKUP(W75,[1]ExpectedInvoiceDate_ID!$A$2:$B$12,2,FALSE)</f>
        <v>#N/A</v>
      </c>
      <c r="J75" s="1" t="e">
        <f>VLOOKUP(X75,[1]GrantOfRights_ID!$A$2:$B$7,2,FALSE)</f>
        <v>#N/A</v>
      </c>
      <c r="K75" s="1" t="str">
        <f>VLOOKUP(AE75,[1]Profile!$A$2:$B$8,2,FALSE)</f>
        <v>License</v>
      </c>
      <c r="M75" s="1" t="str">
        <f>VLOOKUP(Y75,[1]License_Method_ID!$A$2:$B$13,2,FALSE)</f>
        <v>no technical license protection</v>
      </c>
      <c r="O75" s="1">
        <v>10</v>
      </c>
      <c r="P75" s="1">
        <v>50</v>
      </c>
      <c r="Q75" s="1" t="str">
        <f>VLOOKUP(AB75,[1]Operational_Profit_Type_ID!$A$2:$B$3,2,FALSE)</f>
        <v>Fix rate</v>
      </c>
      <c r="R75" s="1" t="s">
        <v>55</v>
      </c>
      <c r="T75" s="1" t="str">
        <f>VLOOKUP(AD75,[1]UpdateRightID!$A$2:$B$4,2,FALSE)</f>
        <v>none</v>
      </c>
      <c r="U75" s="1" t="s">
        <v>48</v>
      </c>
      <c r="Y75" s="1">
        <v>0</v>
      </c>
      <c r="AB75" s="1">
        <v>1</v>
      </c>
      <c r="AD75" s="1">
        <v>0</v>
      </c>
      <c r="AE75" s="1">
        <v>1</v>
      </c>
    </row>
    <row r="76" spans="2:31" ht="75">
      <c r="B76" s="1" t="s">
        <v>231</v>
      </c>
      <c r="C76" t="s">
        <v>232</v>
      </c>
      <c r="E76" s="1" t="e">
        <f>VLOOKUP(Z76,[1]LicenseDuration_ID!$A$2:$B$8,2,FALSE)</f>
        <v>#N/A</v>
      </c>
      <c r="F76" s="1" t="e">
        <f>VLOOKUP(AA76,[1]MaintenanceDuration_ID!$A$2:$B$5,2,FALSE)</f>
        <v>#N/A</v>
      </c>
      <c r="G76" s="1" t="e">
        <f>VLOOKUP(V76,[1]ExpectedDeliveryTime_ID!$A$2:$B$12,2,FALSE)</f>
        <v>#N/A</v>
      </c>
      <c r="H76" s="1" t="e">
        <f>VLOOKUP(AC76,[1]PaymentModel_ID!$A$2:$B$7,2,FALSE)</f>
        <v>#N/A</v>
      </c>
      <c r="I76" s="1" t="e">
        <f>VLOOKUP(W76,[1]ExpectedInvoiceDate_ID!$A$2:$B$12,2,FALSE)</f>
        <v>#N/A</v>
      </c>
      <c r="J76" s="1" t="e">
        <f>VLOOKUP(X76,[1]GrantOfRights_ID!$A$2:$B$7,2,FALSE)</f>
        <v>#N/A</v>
      </c>
      <c r="K76" s="1" t="str">
        <f>VLOOKUP(AE76,[1]Profile!$A$2:$B$8,2,FALSE)</f>
        <v>Product related service without profile</v>
      </c>
      <c r="M76" s="1" t="str">
        <f>VLOOKUP(Y76,[1]License_Method_ID!$A$2:$B$13,2,FALSE)</f>
        <v>no technical license protection</v>
      </c>
      <c r="O76" s="1">
        <v>10</v>
      </c>
      <c r="Q76" s="1" t="str">
        <f>VLOOKUP(AB76,[1]Operational_Profit_Type_ID!$A$2:$B$3,2,FALSE)</f>
        <v>Calculated</v>
      </c>
      <c r="R76" s="1" t="s">
        <v>55</v>
      </c>
      <c r="T76" s="1" t="str">
        <f>VLOOKUP(AD76,[1]UpdateRightID!$A$2:$B$4,2,FALSE)</f>
        <v>none</v>
      </c>
      <c r="U76" s="1" t="s">
        <v>48</v>
      </c>
      <c r="Y76" s="1">
        <v>0</v>
      </c>
      <c r="AB76" s="1">
        <v>2</v>
      </c>
      <c r="AD76" s="1">
        <v>0</v>
      </c>
      <c r="AE76" s="1">
        <v>0</v>
      </c>
    </row>
    <row r="77" spans="2:31" ht="75">
      <c r="B77" s="1" t="s">
        <v>233</v>
      </c>
      <c r="C77" t="s">
        <v>234</v>
      </c>
      <c r="E77" s="1" t="e">
        <f>VLOOKUP(Z77,[1]LicenseDuration_ID!$A$2:$B$8,2,FALSE)</f>
        <v>#N/A</v>
      </c>
      <c r="F77" s="1" t="e">
        <f>VLOOKUP(AA77,[1]MaintenanceDuration_ID!$A$2:$B$5,2,FALSE)</f>
        <v>#N/A</v>
      </c>
      <c r="G77" s="1" t="e">
        <f>VLOOKUP(V77,[1]ExpectedDeliveryTime_ID!$A$2:$B$12,2,FALSE)</f>
        <v>#N/A</v>
      </c>
      <c r="H77" s="1" t="e">
        <f>VLOOKUP(AC77,[1]PaymentModel_ID!$A$2:$B$7,2,FALSE)</f>
        <v>#N/A</v>
      </c>
      <c r="I77" s="1" t="e">
        <f>VLOOKUP(W77,[1]ExpectedInvoiceDate_ID!$A$2:$B$12,2,FALSE)</f>
        <v>#N/A</v>
      </c>
      <c r="J77" s="1" t="e">
        <f>VLOOKUP(X77,[1]GrantOfRights_ID!$A$2:$B$7,2,FALSE)</f>
        <v>#N/A</v>
      </c>
      <c r="K77" s="1" t="str">
        <f>VLOOKUP(AE77,[1]Profile!$A$2:$B$8,2,FALSE)</f>
        <v>Product related service without profile</v>
      </c>
      <c r="M77" s="1" t="str">
        <f>VLOOKUP(Y77,[1]License_Method_ID!$A$2:$B$13,2,FALSE)</f>
        <v>no technical license protection</v>
      </c>
      <c r="O77" s="1">
        <v>10</v>
      </c>
      <c r="Q77" s="1" t="str">
        <f>VLOOKUP(AB77,[1]Operational_Profit_Type_ID!$A$2:$B$3,2,FALSE)</f>
        <v>Calculated</v>
      </c>
      <c r="R77" s="1" t="s">
        <v>55</v>
      </c>
      <c r="T77" s="1" t="str">
        <f>VLOOKUP(AD77,[1]UpdateRightID!$A$2:$B$4,2,FALSE)</f>
        <v>none</v>
      </c>
      <c r="U77" s="1" t="s">
        <v>48</v>
      </c>
      <c r="Y77" s="1">
        <v>0</v>
      </c>
      <c r="AB77" s="1">
        <v>2</v>
      </c>
      <c r="AD77" s="1">
        <v>0</v>
      </c>
      <c r="AE77" s="1">
        <v>0</v>
      </c>
    </row>
    <row r="78" spans="2:31" ht="75">
      <c r="B78" s="1" t="s">
        <v>235</v>
      </c>
      <c r="C78" t="s">
        <v>236</v>
      </c>
      <c r="E78" s="1" t="e">
        <f>VLOOKUP(Z78,[1]LicenseDuration_ID!$A$2:$B$8,2,FALSE)</f>
        <v>#N/A</v>
      </c>
      <c r="F78" s="1" t="e">
        <f>VLOOKUP(AA78,[1]MaintenanceDuration_ID!$A$2:$B$5,2,FALSE)</f>
        <v>#N/A</v>
      </c>
      <c r="G78" s="1" t="e">
        <f>VLOOKUP(V78,[1]ExpectedDeliveryTime_ID!$A$2:$B$12,2,FALSE)</f>
        <v>#N/A</v>
      </c>
      <c r="H78" s="1" t="e">
        <f>VLOOKUP(AC78,[1]PaymentModel_ID!$A$2:$B$7,2,FALSE)</f>
        <v>#N/A</v>
      </c>
      <c r="I78" s="1" t="e">
        <f>VLOOKUP(W78,[1]ExpectedInvoiceDate_ID!$A$2:$B$12,2,FALSE)</f>
        <v>#N/A</v>
      </c>
      <c r="J78" s="1" t="e">
        <f>VLOOKUP(X78,[1]GrantOfRights_ID!$A$2:$B$7,2,FALSE)</f>
        <v>#N/A</v>
      </c>
      <c r="K78" s="1" t="str">
        <f>VLOOKUP(AE78,[1]Profile!$A$2:$B$8,2,FALSE)</f>
        <v>Product related service without profile</v>
      </c>
      <c r="M78" s="1" t="str">
        <f>VLOOKUP(Y78,[1]License_Method_ID!$A$2:$B$13,2,FALSE)</f>
        <v>no technical license protection</v>
      </c>
      <c r="O78" s="1">
        <v>10</v>
      </c>
      <c r="Q78" s="1" t="str">
        <f>VLOOKUP(AB78,[1]Operational_Profit_Type_ID!$A$2:$B$3,2,FALSE)</f>
        <v>Calculated</v>
      </c>
      <c r="R78" s="1" t="s">
        <v>55</v>
      </c>
      <c r="T78" s="1" t="str">
        <f>VLOOKUP(AD78,[1]UpdateRightID!$A$2:$B$4,2,FALSE)</f>
        <v>none</v>
      </c>
      <c r="U78" s="1" t="s">
        <v>48</v>
      </c>
      <c r="Y78" s="1">
        <v>0</v>
      </c>
      <c r="AB78" s="1">
        <v>2</v>
      </c>
      <c r="AD78" s="1">
        <v>0</v>
      </c>
      <c r="AE78" s="1">
        <v>0</v>
      </c>
    </row>
    <row r="79" spans="2:31" ht="75">
      <c r="B79" s="1" t="s">
        <v>237</v>
      </c>
      <c r="C79" t="s">
        <v>238</v>
      </c>
      <c r="E79" s="1" t="e">
        <f>VLOOKUP(Z79,[1]LicenseDuration_ID!$A$2:$B$8,2,FALSE)</f>
        <v>#N/A</v>
      </c>
      <c r="F79" s="1" t="e">
        <f>VLOOKUP(AA79,[1]MaintenanceDuration_ID!$A$2:$B$5,2,FALSE)</f>
        <v>#N/A</v>
      </c>
      <c r="G79" s="1" t="e">
        <f>VLOOKUP(V79,[1]ExpectedDeliveryTime_ID!$A$2:$B$12,2,FALSE)</f>
        <v>#N/A</v>
      </c>
      <c r="H79" s="1" t="e">
        <f>VLOOKUP(AC79,[1]PaymentModel_ID!$A$2:$B$7,2,FALSE)</f>
        <v>#N/A</v>
      </c>
      <c r="I79" s="1" t="e">
        <f>VLOOKUP(W79,[1]ExpectedInvoiceDate_ID!$A$2:$B$12,2,FALSE)</f>
        <v>#N/A</v>
      </c>
      <c r="J79" s="1" t="e">
        <f>VLOOKUP(X79,[1]GrantOfRights_ID!$A$2:$B$7,2,FALSE)</f>
        <v>#N/A</v>
      </c>
      <c r="K79" s="1" t="str">
        <f>VLOOKUP(AE79,[1]Profile!$A$2:$B$8,2,FALSE)</f>
        <v>Product related service without profile</v>
      </c>
      <c r="M79" s="1" t="str">
        <f>VLOOKUP(Y79,[1]License_Method_ID!$A$2:$B$13,2,FALSE)</f>
        <v>no technical license protection</v>
      </c>
      <c r="O79" s="1">
        <v>10</v>
      </c>
      <c r="Q79" s="1" t="str">
        <f>VLOOKUP(AB79,[1]Operational_Profit_Type_ID!$A$2:$B$3,2,FALSE)</f>
        <v>Calculated</v>
      </c>
      <c r="R79" s="1" t="s">
        <v>55</v>
      </c>
      <c r="T79" s="1" t="str">
        <f>VLOOKUP(AD79,[1]UpdateRightID!$A$2:$B$4,2,FALSE)</f>
        <v>none</v>
      </c>
      <c r="U79" s="1" t="s">
        <v>48</v>
      </c>
      <c r="Y79" s="1">
        <v>0</v>
      </c>
      <c r="AB79" s="1">
        <v>2</v>
      </c>
      <c r="AD79" s="1">
        <v>0</v>
      </c>
      <c r="AE79" s="1">
        <v>0</v>
      </c>
    </row>
    <row r="80" spans="2:31" ht="75">
      <c r="B80" s="1" t="s">
        <v>239</v>
      </c>
      <c r="C80" t="s">
        <v>240</v>
      </c>
      <c r="E80" s="1" t="e">
        <f>VLOOKUP(Z80,[1]LicenseDuration_ID!$A$2:$B$8,2,FALSE)</f>
        <v>#N/A</v>
      </c>
      <c r="F80" s="1" t="e">
        <f>VLOOKUP(AA80,[1]MaintenanceDuration_ID!$A$2:$B$5,2,FALSE)</f>
        <v>#N/A</v>
      </c>
      <c r="G80" s="1" t="e">
        <f>VLOOKUP(V80,[1]ExpectedDeliveryTime_ID!$A$2:$B$12,2,FALSE)</f>
        <v>#N/A</v>
      </c>
      <c r="H80" s="1" t="e">
        <f>VLOOKUP(AC80,[1]PaymentModel_ID!$A$2:$B$7,2,FALSE)</f>
        <v>#N/A</v>
      </c>
      <c r="I80" s="1" t="e">
        <f>VLOOKUP(W80,[1]ExpectedInvoiceDate_ID!$A$2:$B$12,2,FALSE)</f>
        <v>#N/A</v>
      </c>
      <c r="J80" s="1" t="e">
        <f>VLOOKUP(X80,[1]GrantOfRights_ID!$A$2:$B$7,2,FALSE)</f>
        <v>#N/A</v>
      </c>
      <c r="K80" s="1" t="str">
        <f>VLOOKUP(AE80,[1]Profile!$A$2:$B$8,2,FALSE)</f>
        <v>Product related service without profile</v>
      </c>
      <c r="M80" s="1" t="str">
        <f>VLOOKUP(Y80,[1]License_Method_ID!$A$2:$B$13,2,FALSE)</f>
        <v>no technical license protection</v>
      </c>
      <c r="O80" s="1">
        <v>10</v>
      </c>
      <c r="Q80" s="1" t="str">
        <f>VLOOKUP(AB80,[1]Operational_Profit_Type_ID!$A$2:$B$3,2,FALSE)</f>
        <v>Calculated</v>
      </c>
      <c r="R80" s="1" t="s">
        <v>55</v>
      </c>
      <c r="T80" s="1" t="str">
        <f>VLOOKUP(AD80,[1]UpdateRightID!$A$2:$B$4,2,FALSE)</f>
        <v>none</v>
      </c>
      <c r="U80" s="1" t="s">
        <v>48</v>
      </c>
      <c r="Y80" s="1">
        <v>0</v>
      </c>
      <c r="AB80" s="1">
        <v>2</v>
      </c>
      <c r="AD80" s="1">
        <v>0</v>
      </c>
      <c r="AE80" s="1">
        <v>0</v>
      </c>
    </row>
    <row r="81" spans="2:31" ht="75">
      <c r="B81" s="1" t="s">
        <v>241</v>
      </c>
      <c r="C81" t="s">
        <v>242</v>
      </c>
      <c r="E81" s="1" t="e">
        <f>VLOOKUP(Z81,[1]LicenseDuration_ID!$A$2:$B$8,2,FALSE)</f>
        <v>#N/A</v>
      </c>
      <c r="F81" s="1" t="e">
        <f>VLOOKUP(AA81,[1]MaintenanceDuration_ID!$A$2:$B$5,2,FALSE)</f>
        <v>#N/A</v>
      </c>
      <c r="G81" s="1" t="e">
        <f>VLOOKUP(V81,[1]ExpectedDeliveryTime_ID!$A$2:$B$12,2,FALSE)</f>
        <v>#N/A</v>
      </c>
      <c r="H81" s="1" t="e">
        <f>VLOOKUP(AC81,[1]PaymentModel_ID!$A$2:$B$7,2,FALSE)</f>
        <v>#N/A</v>
      </c>
      <c r="I81" s="1" t="e">
        <f>VLOOKUP(W81,[1]ExpectedInvoiceDate_ID!$A$2:$B$12,2,FALSE)</f>
        <v>#N/A</v>
      </c>
      <c r="J81" s="1" t="e">
        <f>VLOOKUP(X81,[1]GrantOfRights_ID!$A$2:$B$7,2,FALSE)</f>
        <v>#N/A</v>
      </c>
      <c r="K81" s="1" t="str">
        <f>VLOOKUP(AE81,[1]Profile!$A$2:$B$8,2,FALSE)</f>
        <v>Product related service without profile</v>
      </c>
      <c r="M81" s="1" t="str">
        <f>VLOOKUP(Y81,[1]License_Method_ID!$A$2:$B$13,2,FALSE)</f>
        <v>no technical license protection</v>
      </c>
      <c r="O81" s="1">
        <v>10</v>
      </c>
      <c r="Q81" s="1" t="str">
        <f>VLOOKUP(AB81,[1]Operational_Profit_Type_ID!$A$2:$B$3,2,FALSE)</f>
        <v>Calculated</v>
      </c>
      <c r="R81" s="1" t="s">
        <v>55</v>
      </c>
      <c r="T81" s="1" t="str">
        <f>VLOOKUP(AD81,[1]UpdateRightID!$A$2:$B$4,2,FALSE)</f>
        <v>none</v>
      </c>
      <c r="U81" s="1" t="s">
        <v>48</v>
      </c>
      <c r="Y81" s="1">
        <v>0</v>
      </c>
      <c r="AB81" s="1">
        <v>2</v>
      </c>
      <c r="AD81" s="1">
        <v>0</v>
      </c>
      <c r="AE81" s="1">
        <v>0</v>
      </c>
    </row>
    <row r="82" spans="2:31" ht="135">
      <c r="B82" s="1" t="s">
        <v>243</v>
      </c>
      <c r="C82" t="s">
        <v>244</v>
      </c>
      <c r="D82" s="1" t="s">
        <v>245</v>
      </c>
      <c r="E82" s="1" t="e">
        <f>VLOOKUP(Z82,[1]LicenseDuration_ID!$A$2:$B$8,2,FALSE)</f>
        <v>#N/A</v>
      </c>
      <c r="F82" s="1" t="e">
        <f>VLOOKUP(AA82,[1]MaintenanceDuration_ID!$A$2:$B$5,2,FALSE)</f>
        <v>#N/A</v>
      </c>
      <c r="G82" s="1" t="e">
        <f>VLOOKUP(V82,[1]ExpectedDeliveryTime_ID!$A$2:$B$12,2,FALSE)</f>
        <v>#N/A</v>
      </c>
      <c r="H82" s="1" t="e">
        <f>VLOOKUP(AC82,[1]PaymentModel_ID!$A$2:$B$7,2,FALSE)</f>
        <v>#N/A</v>
      </c>
      <c r="I82" s="1" t="e">
        <f>VLOOKUP(W82,[1]ExpectedInvoiceDate_ID!$A$2:$B$12,2,FALSE)</f>
        <v>#N/A</v>
      </c>
      <c r="J82" s="1" t="e">
        <f>VLOOKUP(X82,[1]GrantOfRights_ID!$A$2:$B$7,2,FALSE)</f>
        <v>#N/A</v>
      </c>
      <c r="K82" s="1" t="str">
        <f>VLOOKUP(AE82,[1]Profile!$A$2:$B$8,2,FALSE)</f>
        <v>License</v>
      </c>
      <c r="M82" s="1" t="str">
        <f>VLOOKUP(Y82,[1]License_Method_ID!$A$2:$B$13,2,FALSE)</f>
        <v>ADTF Node-Locked License File</v>
      </c>
      <c r="N82" s="1" t="s">
        <v>47</v>
      </c>
      <c r="O82" s="1">
        <v>10</v>
      </c>
      <c r="Q82" s="1" t="str">
        <f>VLOOKUP(AB82,[1]Operational_Profit_Type_ID!$A$2:$B$3,2,FALSE)</f>
        <v>Calculated</v>
      </c>
      <c r="R82" s="1" t="s">
        <v>48</v>
      </c>
      <c r="T82" s="1" t="str">
        <f>VLOOKUP(AD82,[1]UpdateRightID!$A$2:$B$4,2,FALSE)</f>
        <v>UpdateRightByConfiguration</v>
      </c>
      <c r="U82" s="1" t="s">
        <v>48</v>
      </c>
      <c r="Y82" s="1">
        <v>7</v>
      </c>
      <c r="AB82" s="1">
        <v>2</v>
      </c>
      <c r="AD82" s="1">
        <v>1</v>
      </c>
      <c r="AE82" s="1">
        <v>1</v>
      </c>
    </row>
    <row r="83" spans="2:31" ht="165">
      <c r="B83" s="1" t="s">
        <v>246</v>
      </c>
      <c r="C83" t="s">
        <v>247</v>
      </c>
      <c r="D83" s="1" t="s">
        <v>248</v>
      </c>
      <c r="E83" s="1" t="e">
        <f>VLOOKUP(Z83,[1]LicenseDuration_ID!$A$2:$B$8,2,FALSE)</f>
        <v>#N/A</v>
      </c>
      <c r="F83" s="1" t="e">
        <f>VLOOKUP(AA83,[1]MaintenanceDuration_ID!$A$2:$B$5,2,FALSE)</f>
        <v>#N/A</v>
      </c>
      <c r="G83" s="1" t="e">
        <f>VLOOKUP(V83,[1]ExpectedDeliveryTime_ID!$A$2:$B$12,2,FALSE)</f>
        <v>#N/A</v>
      </c>
      <c r="H83" s="1" t="e">
        <f>VLOOKUP(AC83,[1]PaymentModel_ID!$A$2:$B$7,2,FALSE)</f>
        <v>#N/A</v>
      </c>
      <c r="I83" s="1" t="e">
        <f>VLOOKUP(W83,[1]ExpectedInvoiceDate_ID!$A$2:$B$12,2,FALSE)</f>
        <v>#N/A</v>
      </c>
      <c r="J83" s="1" t="e">
        <f>VLOOKUP(X83,[1]GrantOfRights_ID!$A$2:$B$7,2,FALSE)</f>
        <v>#N/A</v>
      </c>
      <c r="K83" s="1" t="str">
        <f>VLOOKUP(AE83,[1]Profile!$A$2:$B$8,2,FALSE)</f>
        <v>License</v>
      </c>
      <c r="M83" s="1" t="str">
        <f>VLOOKUP(Y83,[1]License_Method_ID!$A$2:$B$13,2,FALSE)</f>
        <v>ADTF Node-Locked License File</v>
      </c>
      <c r="N83" s="1" t="s">
        <v>47</v>
      </c>
      <c r="O83" s="1">
        <v>10</v>
      </c>
      <c r="Q83" s="1" t="str">
        <f>VLOOKUP(AB83,[1]Operational_Profit_Type_ID!$A$2:$B$3,2,FALSE)</f>
        <v>Calculated</v>
      </c>
      <c r="R83" s="1" t="s">
        <v>48</v>
      </c>
      <c r="S83" s="1">
        <v>10</v>
      </c>
      <c r="T83" s="1" t="str">
        <f>VLOOKUP(AD83,[1]UpdateRightID!$A$2:$B$4,2,FALSE)</f>
        <v>UpdateRightByConfiguration</v>
      </c>
      <c r="U83" s="1" t="s">
        <v>48</v>
      </c>
      <c r="Y83" s="1">
        <v>7</v>
      </c>
      <c r="AB83" s="1">
        <v>2</v>
      </c>
      <c r="AD83" s="1">
        <v>1</v>
      </c>
      <c r="AE83" s="1">
        <v>1</v>
      </c>
    </row>
    <row r="84" spans="2:31" ht="180">
      <c r="B84" s="1" t="s">
        <v>249</v>
      </c>
      <c r="C84" t="s">
        <v>250</v>
      </c>
      <c r="D84" s="1" t="s">
        <v>251</v>
      </c>
      <c r="E84" s="1" t="e">
        <f>VLOOKUP(Z84,[1]LicenseDuration_ID!$A$2:$B$8,2,FALSE)</f>
        <v>#N/A</v>
      </c>
      <c r="F84" s="1" t="e">
        <f>VLOOKUP(AA84,[1]MaintenanceDuration_ID!$A$2:$B$5,2,FALSE)</f>
        <v>#N/A</v>
      </c>
      <c r="G84" s="1" t="e">
        <f>VLOOKUP(V84,[1]ExpectedDeliveryTime_ID!$A$2:$B$12,2,FALSE)</f>
        <v>#N/A</v>
      </c>
      <c r="H84" s="1" t="e">
        <f>VLOOKUP(AC84,[1]PaymentModel_ID!$A$2:$B$7,2,FALSE)</f>
        <v>#N/A</v>
      </c>
      <c r="I84" s="1" t="e">
        <f>VLOOKUP(W84,[1]ExpectedInvoiceDate_ID!$A$2:$B$12,2,FALSE)</f>
        <v>#N/A</v>
      </c>
      <c r="J84" s="1" t="e">
        <f>VLOOKUP(X84,[1]GrantOfRights_ID!$A$2:$B$7,2,FALSE)</f>
        <v>#N/A</v>
      </c>
      <c r="K84" s="1" t="str">
        <f>VLOOKUP(AE84,[1]Profile!$A$2:$B$8,2,FALSE)</f>
        <v>License</v>
      </c>
      <c r="M84" s="1" t="str">
        <f>VLOOKUP(Y84,[1]License_Method_ID!$A$2:$B$13,2,FALSE)</f>
        <v>no technical license protection</v>
      </c>
      <c r="O84" s="1">
        <v>10</v>
      </c>
      <c r="P84" s="1">
        <v>50</v>
      </c>
      <c r="Q84" s="1" t="str">
        <f>VLOOKUP(AB84,[1]Operational_Profit_Type_ID!$A$2:$B$3,2,FALSE)</f>
        <v>Fix rate</v>
      </c>
      <c r="R84" s="1" t="s">
        <v>55</v>
      </c>
      <c r="T84" s="1" t="str">
        <f>VLOOKUP(AD84,[1]UpdateRightID!$A$2:$B$4,2,FALSE)</f>
        <v>none</v>
      </c>
      <c r="U84" s="1" t="s">
        <v>48</v>
      </c>
      <c r="Y84" s="1">
        <v>0</v>
      </c>
      <c r="AB84" s="1">
        <v>1</v>
      </c>
      <c r="AD84" s="1">
        <v>0</v>
      </c>
      <c r="AE84" s="1">
        <v>1</v>
      </c>
    </row>
    <row r="85" spans="2:31" ht="180">
      <c r="B85" s="1" t="s">
        <v>252</v>
      </c>
      <c r="C85" t="s">
        <v>253</v>
      </c>
      <c r="D85" s="1" t="s">
        <v>254</v>
      </c>
      <c r="E85" s="1" t="e">
        <f>VLOOKUP(Z85,[1]LicenseDuration_ID!$A$2:$B$8,2,FALSE)</f>
        <v>#N/A</v>
      </c>
      <c r="F85" s="1" t="e">
        <f>VLOOKUP(AA85,[1]MaintenanceDuration_ID!$A$2:$B$5,2,FALSE)</f>
        <v>#N/A</v>
      </c>
      <c r="G85" s="1" t="e">
        <f>VLOOKUP(V85,[1]ExpectedDeliveryTime_ID!$A$2:$B$12,2,FALSE)</f>
        <v>#N/A</v>
      </c>
      <c r="H85" s="1" t="e">
        <f>VLOOKUP(AC85,[1]PaymentModel_ID!$A$2:$B$7,2,FALSE)</f>
        <v>#N/A</v>
      </c>
      <c r="I85" s="1" t="e">
        <f>VLOOKUP(W85,[1]ExpectedInvoiceDate_ID!$A$2:$B$12,2,FALSE)</f>
        <v>#N/A</v>
      </c>
      <c r="J85" s="1" t="e">
        <f>VLOOKUP(X85,[1]GrantOfRights_ID!$A$2:$B$7,2,FALSE)</f>
        <v>#N/A</v>
      </c>
      <c r="K85" s="1" t="str">
        <f>VLOOKUP(AE85,[1]Profile!$A$2:$B$8,2,FALSE)</f>
        <v>License</v>
      </c>
      <c r="M85" s="1" t="str">
        <f>VLOOKUP(Y85,[1]License_Method_ID!$A$2:$B$13,2,FALSE)</f>
        <v>no technical license protection</v>
      </c>
      <c r="O85" s="1">
        <v>10</v>
      </c>
      <c r="P85" s="1">
        <v>50</v>
      </c>
      <c r="Q85" s="1" t="str">
        <f>VLOOKUP(AB85,[1]Operational_Profit_Type_ID!$A$2:$B$3,2,FALSE)</f>
        <v>Fix rate</v>
      </c>
      <c r="R85" s="1" t="s">
        <v>55</v>
      </c>
      <c r="T85" s="1" t="str">
        <f>VLOOKUP(AD85,[1]UpdateRightID!$A$2:$B$4,2,FALSE)</f>
        <v>none</v>
      </c>
      <c r="U85" s="1" t="s">
        <v>48</v>
      </c>
      <c r="Y85" s="1">
        <v>0</v>
      </c>
      <c r="AB85" s="1">
        <v>1</v>
      </c>
      <c r="AD85" s="1">
        <v>0</v>
      </c>
      <c r="AE85" s="1">
        <v>1</v>
      </c>
    </row>
    <row r="86" spans="2:31" ht="105">
      <c r="B86" s="1" t="s">
        <v>255</v>
      </c>
      <c r="C86" t="s">
        <v>256</v>
      </c>
      <c r="D86" s="1" t="s">
        <v>257</v>
      </c>
      <c r="E86" s="1" t="e">
        <f>VLOOKUP(Z86,[1]LicenseDuration_ID!$A$2:$B$8,2,FALSE)</f>
        <v>#N/A</v>
      </c>
      <c r="F86" s="1" t="e">
        <f>VLOOKUP(AA86,[1]MaintenanceDuration_ID!$A$2:$B$5,2,FALSE)</f>
        <v>#N/A</v>
      </c>
      <c r="G86" s="1" t="e">
        <f>VLOOKUP(V86,[1]ExpectedDeliveryTime_ID!$A$2:$B$12,2,FALSE)</f>
        <v>#N/A</v>
      </c>
      <c r="H86" s="1" t="e">
        <f>VLOOKUP(AC86,[1]PaymentModel_ID!$A$2:$B$7,2,FALSE)</f>
        <v>#N/A</v>
      </c>
      <c r="I86" s="1" t="e">
        <f>VLOOKUP(W86,[1]ExpectedInvoiceDate_ID!$A$2:$B$12,2,FALSE)</f>
        <v>#N/A</v>
      </c>
      <c r="J86" s="1" t="e">
        <f>VLOOKUP(X86,[1]GrantOfRights_ID!$A$2:$B$7,2,FALSE)</f>
        <v>#N/A</v>
      </c>
      <c r="K86" s="1" t="str">
        <f>VLOOKUP(AE86,[1]Profile!$A$2:$B$8,2,FALSE)</f>
        <v>License</v>
      </c>
      <c r="M86" s="1" t="str">
        <f>VLOOKUP(Y86,[1]License_Method_ID!$A$2:$B$13,2,FALSE)</f>
        <v>ADTF Node-Locked License File</v>
      </c>
      <c r="N86" s="1" t="s">
        <v>47</v>
      </c>
      <c r="O86" s="1">
        <v>10</v>
      </c>
      <c r="Q86" s="1" t="str">
        <f>VLOOKUP(AB86,[1]Operational_Profit_Type_ID!$A$2:$B$3,2,FALSE)</f>
        <v>Calculated</v>
      </c>
      <c r="R86" s="1" t="s">
        <v>55</v>
      </c>
      <c r="S86" s="1">
        <v>3</v>
      </c>
      <c r="T86" s="1" t="str">
        <f>VLOOKUP(AD86,[1]UpdateRightID!$A$2:$B$4,2,FALSE)</f>
        <v>UpdateRightByConfiguration</v>
      </c>
      <c r="U86" s="1" t="s">
        <v>48</v>
      </c>
      <c r="Y86" s="1">
        <v>7</v>
      </c>
      <c r="AB86" s="1">
        <v>2</v>
      </c>
      <c r="AD86" s="1">
        <v>1</v>
      </c>
      <c r="AE86" s="1">
        <v>1</v>
      </c>
    </row>
    <row r="87" spans="2:31" ht="165">
      <c r="B87" s="1" t="s">
        <v>258</v>
      </c>
      <c r="C87" t="s">
        <v>259</v>
      </c>
      <c r="D87" s="1" t="s">
        <v>260</v>
      </c>
      <c r="E87" s="1" t="e">
        <f>VLOOKUP(Z87,[1]LicenseDuration_ID!$A$2:$B$8,2,FALSE)</f>
        <v>#N/A</v>
      </c>
      <c r="F87" s="1" t="e">
        <f>VLOOKUP(AA87,[1]MaintenanceDuration_ID!$A$2:$B$5,2,FALSE)</f>
        <v>#N/A</v>
      </c>
      <c r="G87" s="1" t="e">
        <f>VLOOKUP(V87,[1]ExpectedDeliveryTime_ID!$A$2:$B$12,2,FALSE)</f>
        <v>#N/A</v>
      </c>
      <c r="H87" s="1" t="e">
        <f>VLOOKUP(AC87,[1]PaymentModel_ID!$A$2:$B$7,2,FALSE)</f>
        <v>#N/A</v>
      </c>
      <c r="I87" s="1" t="e">
        <f>VLOOKUP(W87,[1]ExpectedInvoiceDate_ID!$A$2:$B$12,2,FALSE)</f>
        <v>#N/A</v>
      </c>
      <c r="J87" s="1" t="e">
        <f>VLOOKUP(X87,[1]GrantOfRights_ID!$A$2:$B$7,2,FALSE)</f>
        <v>#N/A</v>
      </c>
      <c r="K87" s="1" t="str">
        <f>VLOOKUP(AE87,[1]Profile!$A$2:$B$8,2,FALSE)</f>
        <v>License</v>
      </c>
      <c r="M87" s="1" t="str">
        <f>VLOOKUP(Y87,[1]License_Method_ID!$A$2:$B$13,2,FALSE)</f>
        <v>ADTF Floating License File</v>
      </c>
      <c r="N87" s="1" t="s">
        <v>47</v>
      </c>
      <c r="O87" s="1">
        <v>10</v>
      </c>
      <c r="Q87" s="1" t="str">
        <f>VLOOKUP(AB87,[1]Operational_Profit_Type_ID!$A$2:$B$3,2,FALSE)</f>
        <v>Calculated</v>
      </c>
      <c r="R87" s="1" t="s">
        <v>48</v>
      </c>
      <c r="S87" s="1">
        <v>10</v>
      </c>
      <c r="T87" s="1" t="str">
        <f>VLOOKUP(AD87,[1]UpdateRightID!$A$2:$B$4,2,FALSE)</f>
        <v>UpdateRightByConfiguration</v>
      </c>
      <c r="U87" s="1" t="s">
        <v>48</v>
      </c>
      <c r="Y87" s="1">
        <v>8</v>
      </c>
      <c r="AB87" s="1">
        <v>2</v>
      </c>
      <c r="AD87" s="1">
        <v>1</v>
      </c>
      <c r="AE87" s="1">
        <v>1</v>
      </c>
    </row>
    <row r="88" spans="2:31" ht="180">
      <c r="B88" s="1" t="s">
        <v>261</v>
      </c>
      <c r="C88" t="s">
        <v>262</v>
      </c>
      <c r="D88" s="1" t="s">
        <v>263</v>
      </c>
      <c r="E88" s="1" t="e">
        <f>VLOOKUP(Z88,[1]LicenseDuration_ID!$A$2:$B$8,2,FALSE)</f>
        <v>#N/A</v>
      </c>
      <c r="F88" s="1" t="e">
        <f>VLOOKUP(AA88,[1]MaintenanceDuration_ID!$A$2:$B$5,2,FALSE)</f>
        <v>#N/A</v>
      </c>
      <c r="G88" s="1" t="e">
        <f>VLOOKUP(V88,[1]ExpectedDeliveryTime_ID!$A$2:$B$12,2,FALSE)</f>
        <v>#N/A</v>
      </c>
      <c r="H88" s="1" t="e">
        <f>VLOOKUP(AC88,[1]PaymentModel_ID!$A$2:$B$7,2,FALSE)</f>
        <v>#N/A</v>
      </c>
      <c r="I88" s="1" t="e">
        <f>VLOOKUP(W88,[1]ExpectedInvoiceDate_ID!$A$2:$B$12,2,FALSE)</f>
        <v>#N/A</v>
      </c>
      <c r="J88" s="1" t="e">
        <f>VLOOKUP(X88,[1]GrantOfRights_ID!$A$2:$B$7,2,FALSE)</f>
        <v>#N/A</v>
      </c>
      <c r="K88" s="1" t="str">
        <f>VLOOKUP(AE88,[1]Profile!$A$2:$B$8,2,FALSE)</f>
        <v>License</v>
      </c>
      <c r="M88" s="1" t="str">
        <f>VLOOKUP(Y88,[1]License_Method_ID!$A$2:$B$13,2,FALSE)</f>
        <v>no technical license protection</v>
      </c>
      <c r="O88" s="1">
        <v>10</v>
      </c>
      <c r="P88" s="1">
        <v>50</v>
      </c>
      <c r="Q88" s="1" t="str">
        <f>VLOOKUP(AB88,[1]Operational_Profit_Type_ID!$A$2:$B$3,2,FALSE)</f>
        <v>Fix rate</v>
      </c>
      <c r="R88" s="1" t="s">
        <v>55</v>
      </c>
      <c r="T88" s="1" t="str">
        <f>VLOOKUP(AD88,[1]UpdateRightID!$A$2:$B$4,2,FALSE)</f>
        <v>none</v>
      </c>
      <c r="U88" s="1" t="s">
        <v>48</v>
      </c>
      <c r="Y88" s="1">
        <v>0</v>
      </c>
      <c r="AB88" s="1">
        <v>1</v>
      </c>
      <c r="AD88" s="1">
        <v>0</v>
      </c>
      <c r="AE88" s="1">
        <v>1</v>
      </c>
    </row>
    <row r="89" spans="2:31" ht="105">
      <c r="B89" s="1" t="s">
        <v>264</v>
      </c>
      <c r="C89" t="s">
        <v>265</v>
      </c>
      <c r="D89" s="1" t="s">
        <v>266</v>
      </c>
      <c r="E89" s="1" t="e">
        <f>VLOOKUP(Z89,[1]LicenseDuration_ID!$A$2:$B$8,2,FALSE)</f>
        <v>#N/A</v>
      </c>
      <c r="F89" s="1" t="e">
        <f>VLOOKUP(AA89,[1]MaintenanceDuration_ID!$A$2:$B$5,2,FALSE)</f>
        <v>#N/A</v>
      </c>
      <c r="G89" s="1" t="e">
        <f>VLOOKUP(V89,[1]ExpectedDeliveryTime_ID!$A$2:$B$12,2,FALSE)</f>
        <v>#N/A</v>
      </c>
      <c r="H89" s="1" t="e">
        <f>VLOOKUP(AC89,[1]PaymentModel_ID!$A$2:$B$7,2,FALSE)</f>
        <v>#N/A</v>
      </c>
      <c r="I89" s="1" t="e">
        <f>VLOOKUP(W89,[1]ExpectedInvoiceDate_ID!$A$2:$B$12,2,FALSE)</f>
        <v>#N/A</v>
      </c>
      <c r="J89" s="1" t="e">
        <f>VLOOKUP(X89,[1]GrantOfRights_ID!$A$2:$B$7,2,FALSE)</f>
        <v>#N/A</v>
      </c>
      <c r="K89" s="1" t="str">
        <f>VLOOKUP(AE89,[1]Profile!$A$2:$B$8,2,FALSE)</f>
        <v>License</v>
      </c>
      <c r="M89" s="1" t="str">
        <f>VLOOKUP(Y89,[1]License_Method_ID!$A$2:$B$13,2,FALSE)</f>
        <v>no technical license protection</v>
      </c>
      <c r="N89" s="1" t="s">
        <v>47</v>
      </c>
      <c r="O89" s="1">
        <v>10</v>
      </c>
      <c r="Q89" s="1" t="str">
        <f>VLOOKUP(AB89,[1]Operational_Profit_Type_ID!$A$2:$B$3,2,FALSE)</f>
        <v>Calculated</v>
      </c>
      <c r="R89" s="1" t="s">
        <v>55</v>
      </c>
      <c r="S89" s="1">
        <v>5</v>
      </c>
      <c r="T89" s="1" t="str">
        <f>VLOOKUP(AD89,[1]UpdateRightID!$A$2:$B$4,2,FALSE)</f>
        <v>UpdateRightByConfiguration</v>
      </c>
      <c r="U89" s="1" t="s">
        <v>48</v>
      </c>
      <c r="Y89" s="1">
        <v>0</v>
      </c>
      <c r="AB89" s="1">
        <v>2</v>
      </c>
      <c r="AD89" s="1">
        <v>1</v>
      </c>
      <c r="AE89" s="1">
        <v>1</v>
      </c>
    </row>
    <row r="90" spans="2:31" ht="105">
      <c r="B90" s="1" t="s">
        <v>267</v>
      </c>
      <c r="C90" t="s">
        <v>268</v>
      </c>
      <c r="D90" s="1" t="s">
        <v>269</v>
      </c>
      <c r="E90" s="1" t="e">
        <f>VLOOKUP(Z90,[1]LicenseDuration_ID!$A$2:$B$8,2,FALSE)</f>
        <v>#N/A</v>
      </c>
      <c r="F90" s="1" t="e">
        <f>VLOOKUP(AA90,[1]MaintenanceDuration_ID!$A$2:$B$5,2,FALSE)</f>
        <v>#N/A</v>
      </c>
      <c r="G90" s="1" t="e">
        <f>VLOOKUP(V90,[1]ExpectedDeliveryTime_ID!$A$2:$B$12,2,FALSE)</f>
        <v>#N/A</v>
      </c>
      <c r="H90" s="1" t="e">
        <f>VLOOKUP(AC90,[1]PaymentModel_ID!$A$2:$B$7,2,FALSE)</f>
        <v>#N/A</v>
      </c>
      <c r="I90" s="1" t="e">
        <f>VLOOKUP(W90,[1]ExpectedInvoiceDate_ID!$A$2:$B$12,2,FALSE)</f>
        <v>#N/A</v>
      </c>
      <c r="J90" s="1" t="e">
        <f>VLOOKUP(X90,[1]GrantOfRights_ID!$A$2:$B$7,2,FALSE)</f>
        <v>#N/A</v>
      </c>
      <c r="K90" s="1" t="str">
        <f>VLOOKUP(AE90,[1]Profile!$A$2:$B$8,2,FALSE)</f>
        <v>License</v>
      </c>
      <c r="M90" s="1" t="str">
        <f>VLOOKUP(Y90,[1]License_Method_ID!$A$2:$B$13,2,FALSE)</f>
        <v>no technical license protection</v>
      </c>
      <c r="N90" s="1" t="s">
        <v>47</v>
      </c>
      <c r="O90" s="1">
        <v>10</v>
      </c>
      <c r="Q90" s="1" t="str">
        <f>VLOOKUP(AB90,[1]Operational_Profit_Type_ID!$A$2:$B$3,2,FALSE)</f>
        <v>Calculated</v>
      </c>
      <c r="R90" s="1" t="s">
        <v>55</v>
      </c>
      <c r="S90" s="1">
        <v>10</v>
      </c>
      <c r="T90" s="1" t="str">
        <f>VLOOKUP(AD90,[1]UpdateRightID!$A$2:$B$4,2,FALSE)</f>
        <v>UpdateRightByConfiguration</v>
      </c>
      <c r="U90" s="1" t="s">
        <v>48</v>
      </c>
      <c r="Y90" s="1">
        <v>0</v>
      </c>
      <c r="AB90" s="1">
        <v>2</v>
      </c>
      <c r="AD90" s="1">
        <v>1</v>
      </c>
      <c r="AE90" s="1">
        <v>1</v>
      </c>
    </row>
    <row r="91" spans="2:31" ht="150">
      <c r="B91" s="1" t="s">
        <v>270</v>
      </c>
      <c r="C91" t="s">
        <v>271</v>
      </c>
      <c r="D91" s="1" t="s">
        <v>272</v>
      </c>
      <c r="E91" s="1" t="e">
        <f>VLOOKUP(Z91,[1]LicenseDuration_ID!$A$2:$B$8,2,FALSE)</f>
        <v>#N/A</v>
      </c>
      <c r="F91" s="1" t="e">
        <f>VLOOKUP(AA91,[1]MaintenanceDuration_ID!$A$2:$B$5,2,FALSE)</f>
        <v>#N/A</v>
      </c>
      <c r="G91" s="1" t="e">
        <f>VLOOKUP(V91,[1]ExpectedDeliveryTime_ID!$A$2:$B$12,2,FALSE)</f>
        <v>#N/A</v>
      </c>
      <c r="H91" s="1" t="e">
        <f>VLOOKUP(AC91,[1]PaymentModel_ID!$A$2:$B$7,2,FALSE)</f>
        <v>#N/A</v>
      </c>
      <c r="I91" s="1" t="e">
        <f>VLOOKUP(W91,[1]ExpectedInvoiceDate_ID!$A$2:$B$12,2,FALSE)</f>
        <v>#N/A</v>
      </c>
      <c r="J91" s="1" t="e">
        <f>VLOOKUP(X91,[1]GrantOfRights_ID!$A$2:$B$7,2,FALSE)</f>
        <v>#N/A</v>
      </c>
      <c r="K91" s="1" t="str">
        <f>VLOOKUP(AE91,[1]Profile!$A$2:$B$8,2,FALSE)</f>
        <v>License</v>
      </c>
      <c r="M91" s="1" t="str">
        <f>VLOOKUP(Y91,[1]License_Method_ID!$A$2:$B$13,2,FALSE)</f>
        <v>no technical license protection</v>
      </c>
      <c r="N91" s="1" t="s">
        <v>47</v>
      </c>
      <c r="O91" s="1">
        <v>10</v>
      </c>
      <c r="Q91" s="1" t="str">
        <f>VLOOKUP(AB91,[1]Operational_Profit_Type_ID!$A$2:$B$3,2,FALSE)</f>
        <v>Calculated</v>
      </c>
      <c r="R91" s="1" t="s">
        <v>48</v>
      </c>
      <c r="S91" s="1">
        <v>10</v>
      </c>
      <c r="T91" s="1" t="str">
        <f>VLOOKUP(AD91,[1]UpdateRightID!$A$2:$B$4,2,FALSE)</f>
        <v>TotalAmountAsUpdateRight</v>
      </c>
      <c r="U91" s="1" t="s">
        <v>48</v>
      </c>
      <c r="Y91" s="1">
        <v>0</v>
      </c>
      <c r="AB91" s="1">
        <v>2</v>
      </c>
      <c r="AD91" s="1">
        <v>2</v>
      </c>
      <c r="AE91" s="1">
        <v>1</v>
      </c>
    </row>
    <row r="92" spans="2:31" ht="135">
      <c r="B92" s="1" t="s">
        <v>273</v>
      </c>
      <c r="C92" t="s">
        <v>274</v>
      </c>
      <c r="D92" s="1" t="s">
        <v>275</v>
      </c>
      <c r="E92" s="1" t="e">
        <f>VLOOKUP(Z92,[1]LicenseDuration_ID!$A$2:$B$8,2,FALSE)</f>
        <v>#N/A</v>
      </c>
      <c r="F92" s="1" t="e">
        <f>VLOOKUP(AA92,[1]MaintenanceDuration_ID!$A$2:$B$5,2,FALSE)</f>
        <v>#N/A</v>
      </c>
      <c r="G92" s="1" t="e">
        <f>VLOOKUP(V92,[1]ExpectedDeliveryTime_ID!$A$2:$B$12,2,FALSE)</f>
        <v>#N/A</v>
      </c>
      <c r="H92" s="1" t="e">
        <f>VLOOKUP(AC92,[1]PaymentModel_ID!$A$2:$B$7,2,FALSE)</f>
        <v>#N/A</v>
      </c>
      <c r="I92" s="1" t="e">
        <f>VLOOKUP(W92,[1]ExpectedInvoiceDate_ID!$A$2:$B$12,2,FALSE)</f>
        <v>#N/A</v>
      </c>
      <c r="J92" s="1" t="e">
        <f>VLOOKUP(X92,[1]GrantOfRights_ID!$A$2:$B$7,2,FALSE)</f>
        <v>#N/A</v>
      </c>
      <c r="K92" s="1" t="str">
        <f>VLOOKUP(AE92,[1]Profile!$A$2:$B$8,2,FALSE)</f>
        <v>License</v>
      </c>
      <c r="M92" s="1" t="str">
        <f>VLOOKUP(Y92,[1]License_Method_ID!$A$2:$B$13,2,FALSE)</f>
        <v>no technical license protection</v>
      </c>
      <c r="O92" s="1">
        <v>10</v>
      </c>
      <c r="P92" s="1">
        <v>50</v>
      </c>
      <c r="Q92" s="1" t="str">
        <f>VLOOKUP(AB92,[1]Operational_Profit_Type_ID!$A$2:$B$3,2,FALSE)</f>
        <v>Fix rate</v>
      </c>
      <c r="R92" s="1" t="s">
        <v>55</v>
      </c>
      <c r="T92" s="1" t="str">
        <f>VLOOKUP(AD92,[1]UpdateRightID!$A$2:$B$4,2,FALSE)</f>
        <v>none</v>
      </c>
      <c r="U92" s="1" t="s">
        <v>48</v>
      </c>
      <c r="Y92" s="1">
        <v>0</v>
      </c>
      <c r="AB92" s="1">
        <v>1</v>
      </c>
      <c r="AD92" s="1">
        <v>0</v>
      </c>
      <c r="AE92" s="1">
        <v>1</v>
      </c>
    </row>
    <row r="93" spans="2:31" ht="75">
      <c r="B93" s="1" t="s">
        <v>276</v>
      </c>
      <c r="C93" t="s">
        <v>277</v>
      </c>
      <c r="D93" s="1" t="s">
        <v>278</v>
      </c>
      <c r="E93" s="1" t="e">
        <f>VLOOKUP(Z93,[1]LicenseDuration_ID!$A$2:$B$8,2,FALSE)</f>
        <v>#N/A</v>
      </c>
      <c r="F93" s="1" t="e">
        <f>VLOOKUP(AA93,[1]MaintenanceDuration_ID!$A$2:$B$5,2,FALSE)</f>
        <v>#N/A</v>
      </c>
      <c r="G93" s="1" t="e">
        <f>VLOOKUP(V93,[1]ExpectedDeliveryTime_ID!$A$2:$B$12,2,FALSE)</f>
        <v>#N/A</v>
      </c>
      <c r="H93" s="1" t="e">
        <f>VLOOKUP(AC93,[1]PaymentModel_ID!$A$2:$B$7,2,FALSE)</f>
        <v>#N/A</v>
      </c>
      <c r="I93" s="1" t="e">
        <f>VLOOKUP(W93,[1]ExpectedInvoiceDate_ID!$A$2:$B$12,2,FALSE)</f>
        <v>#N/A</v>
      </c>
      <c r="J93" s="1" t="e">
        <f>VLOOKUP(X93,[1]GrantOfRights_ID!$A$2:$B$7,2,FALSE)</f>
        <v>#N/A</v>
      </c>
      <c r="K93" s="1" t="str">
        <f>VLOOKUP(AE93,[1]Profile!$A$2:$B$8,2,FALSE)</f>
        <v>Product related service without profile</v>
      </c>
      <c r="M93" s="1" t="str">
        <f>VLOOKUP(Y93,[1]License_Method_ID!$A$2:$B$13,2,FALSE)</f>
        <v>no technical license protection</v>
      </c>
      <c r="N93" s="1" t="s">
        <v>47</v>
      </c>
      <c r="O93" s="1">
        <v>10</v>
      </c>
      <c r="Q93" s="1" t="str">
        <f>VLOOKUP(AB93,[1]Operational_Profit_Type_ID!$A$2:$B$3,2,FALSE)</f>
        <v>Calculated</v>
      </c>
      <c r="R93" s="1" t="s">
        <v>55</v>
      </c>
      <c r="S93" s="1">
        <v>10</v>
      </c>
      <c r="T93" s="1" t="str">
        <f>VLOOKUP(AD93,[1]UpdateRightID!$A$2:$B$4,2,FALSE)</f>
        <v>none</v>
      </c>
      <c r="U93" s="1" t="s">
        <v>48</v>
      </c>
      <c r="Y93" s="1">
        <v>0</v>
      </c>
      <c r="AB93" s="1">
        <v>2</v>
      </c>
      <c r="AD93" s="1">
        <v>0</v>
      </c>
      <c r="AE93" s="1">
        <v>0</v>
      </c>
    </row>
    <row r="94" spans="2:31">
      <c r="B94" s="1" t="s">
        <v>279</v>
      </c>
      <c r="C94" t="s">
        <v>280</v>
      </c>
      <c r="E94" s="1" t="e">
        <f>VLOOKUP(Z94,[1]LicenseDuration_ID!$A$2:$B$8,2,FALSE)</f>
        <v>#N/A</v>
      </c>
      <c r="F94" s="1" t="e">
        <f>VLOOKUP(AA94,[1]MaintenanceDuration_ID!$A$2:$B$5,2,FALSE)</f>
        <v>#N/A</v>
      </c>
      <c r="G94" s="1" t="e">
        <f>VLOOKUP(V94,[1]ExpectedDeliveryTime_ID!$A$2:$B$12,2,FALSE)</f>
        <v>#N/A</v>
      </c>
      <c r="H94" s="1" t="e">
        <f>VLOOKUP(AC94,[1]PaymentModel_ID!$A$2:$B$7,2,FALSE)</f>
        <v>#N/A</v>
      </c>
      <c r="I94" s="1" t="e">
        <f>VLOOKUP(W94,[1]ExpectedInvoiceDate_ID!$A$2:$B$12,2,FALSE)</f>
        <v>#N/A</v>
      </c>
      <c r="J94" s="1" t="e">
        <f>VLOOKUP(X94,[1]GrantOfRights_ID!$A$2:$B$7,2,FALSE)</f>
        <v>#N/A</v>
      </c>
      <c r="K94" s="1" t="str">
        <f>VLOOKUP(AE94,[1]Profile!$A$2:$B$8,2,FALSE)</f>
        <v>License</v>
      </c>
      <c r="M94" s="1" t="str">
        <f>VLOOKUP(Y94,[1]License_Method_ID!$A$2:$B$13,2,FALSE)</f>
        <v>no technical license protection</v>
      </c>
      <c r="O94" s="1">
        <v>10</v>
      </c>
      <c r="P94" s="1">
        <v>50</v>
      </c>
      <c r="Q94" s="1" t="str">
        <f>VLOOKUP(AB94,[1]Operational_Profit_Type_ID!$A$2:$B$3,2,FALSE)</f>
        <v>Fix rate</v>
      </c>
      <c r="R94" s="1" t="s">
        <v>55</v>
      </c>
      <c r="T94" s="1" t="str">
        <f>VLOOKUP(AD94,[1]UpdateRightID!$A$2:$B$4,2,FALSE)</f>
        <v>none</v>
      </c>
      <c r="U94" s="1" t="s">
        <v>48</v>
      </c>
      <c r="Y94" s="1">
        <v>0</v>
      </c>
      <c r="AB94" s="1">
        <v>1</v>
      </c>
      <c r="AD94" s="1">
        <v>0</v>
      </c>
      <c r="AE94" s="1">
        <v>1</v>
      </c>
    </row>
    <row r="95" spans="2:31">
      <c r="B95" s="1" t="s">
        <v>281</v>
      </c>
      <c r="C95" t="s">
        <v>282</v>
      </c>
      <c r="E95" s="1" t="e">
        <f>VLOOKUP(Z95,[1]LicenseDuration_ID!$A$2:$B$8,2,FALSE)</f>
        <v>#N/A</v>
      </c>
      <c r="F95" s="1" t="e">
        <f>VLOOKUP(AA95,[1]MaintenanceDuration_ID!$A$2:$B$5,2,FALSE)</f>
        <v>#N/A</v>
      </c>
      <c r="G95" s="1" t="e">
        <f>VLOOKUP(V95,[1]ExpectedDeliveryTime_ID!$A$2:$B$12,2,FALSE)</f>
        <v>#N/A</v>
      </c>
      <c r="H95" s="1" t="e">
        <f>VLOOKUP(AC95,[1]PaymentModel_ID!$A$2:$B$7,2,FALSE)</f>
        <v>#N/A</v>
      </c>
      <c r="I95" s="1" t="e">
        <f>VLOOKUP(W95,[1]ExpectedInvoiceDate_ID!$A$2:$B$12,2,FALSE)</f>
        <v>#N/A</v>
      </c>
      <c r="J95" s="1" t="e">
        <f>VLOOKUP(X95,[1]GrantOfRights_ID!$A$2:$B$7,2,FALSE)</f>
        <v>#N/A</v>
      </c>
      <c r="K95" s="1" t="str">
        <f>VLOOKUP(AE95,[1]Profile!$A$2:$B$8,2,FALSE)</f>
        <v>License</v>
      </c>
      <c r="M95" s="1" t="str">
        <f>VLOOKUP(Y95,[1]License_Method_ID!$A$2:$B$13,2,FALSE)</f>
        <v>no technical license protection</v>
      </c>
      <c r="O95" s="1">
        <v>10</v>
      </c>
      <c r="P95" s="1">
        <v>50</v>
      </c>
      <c r="Q95" s="1" t="str">
        <f>VLOOKUP(AB95,[1]Operational_Profit_Type_ID!$A$2:$B$3,2,FALSE)</f>
        <v>Fix rate</v>
      </c>
      <c r="R95" s="1" t="s">
        <v>55</v>
      </c>
      <c r="T95" s="1" t="str">
        <f>VLOOKUP(AD95,[1]UpdateRightID!$A$2:$B$4,2,FALSE)</f>
        <v>none</v>
      </c>
      <c r="U95" s="1" t="s">
        <v>48</v>
      </c>
      <c r="Y95" s="1">
        <v>0</v>
      </c>
      <c r="AB95" s="1">
        <v>1</v>
      </c>
      <c r="AD95" s="1">
        <v>0</v>
      </c>
      <c r="AE95" s="1">
        <v>1</v>
      </c>
    </row>
    <row r="96" spans="2:31" ht="360">
      <c r="B96" s="1" t="s">
        <v>283</v>
      </c>
      <c r="C96" t="s">
        <v>284</v>
      </c>
      <c r="D96" s="1" t="s">
        <v>285</v>
      </c>
      <c r="E96" s="1" t="e">
        <f>VLOOKUP(Z96,[1]LicenseDuration_ID!$A$2:$B$8,2,FALSE)</f>
        <v>#N/A</v>
      </c>
      <c r="F96" s="1" t="e">
        <f>VLOOKUP(AA96,[1]MaintenanceDuration_ID!$A$2:$B$5,2,FALSE)</f>
        <v>#N/A</v>
      </c>
      <c r="G96" s="1" t="e">
        <f>VLOOKUP(V96,[1]ExpectedDeliveryTime_ID!$A$2:$B$12,2,FALSE)</f>
        <v>#N/A</v>
      </c>
      <c r="H96" s="1" t="e">
        <f>VLOOKUP(AC96,[1]PaymentModel_ID!$A$2:$B$7,2,FALSE)</f>
        <v>#N/A</v>
      </c>
      <c r="I96" s="1" t="e">
        <f>VLOOKUP(W96,[1]ExpectedInvoiceDate_ID!$A$2:$B$12,2,FALSE)</f>
        <v>#N/A</v>
      </c>
      <c r="J96" s="1" t="e">
        <f>VLOOKUP(X96,[1]GrantOfRights_ID!$A$2:$B$7,2,FALSE)</f>
        <v>#N/A</v>
      </c>
      <c r="K96" s="1" t="str">
        <f>VLOOKUP(AE96,[1]Profile!$A$2:$B$8,2,FALSE)</f>
        <v>License</v>
      </c>
      <c r="M96" s="1" t="str">
        <f>VLOOKUP(Y96,[1]License_Method_ID!$A$2:$B$13,2,FALSE)</f>
        <v>no technical license protection</v>
      </c>
      <c r="O96" s="1">
        <v>10</v>
      </c>
      <c r="P96" s="1">
        <v>50</v>
      </c>
      <c r="Q96" s="1" t="str">
        <f>VLOOKUP(AB96,[1]Operational_Profit_Type_ID!$A$2:$B$3,2,FALSE)</f>
        <v>Fix rate</v>
      </c>
      <c r="R96" s="1" t="s">
        <v>55</v>
      </c>
      <c r="T96" s="1" t="str">
        <f>VLOOKUP(AD96,[1]UpdateRightID!$A$2:$B$4,2,FALSE)</f>
        <v>none</v>
      </c>
      <c r="U96" s="1" t="s">
        <v>48</v>
      </c>
      <c r="Y96" s="1">
        <v>0</v>
      </c>
      <c r="AB96" s="1">
        <v>1</v>
      </c>
      <c r="AD96" s="1">
        <v>0</v>
      </c>
      <c r="AE96" s="1">
        <v>1</v>
      </c>
    </row>
    <row r="97" spans="1:31" ht="30">
      <c r="B97" s="1" t="s">
        <v>286</v>
      </c>
      <c r="C97" t="s">
        <v>287</v>
      </c>
      <c r="D97" s="1" t="s">
        <v>288</v>
      </c>
      <c r="E97" s="1" t="e">
        <f>VLOOKUP(Z97,[1]LicenseDuration_ID!$A$2:$B$8,2,FALSE)</f>
        <v>#N/A</v>
      </c>
      <c r="F97" s="1" t="e">
        <f>VLOOKUP(AA97,[1]MaintenanceDuration_ID!$A$2:$B$5,2,FALSE)</f>
        <v>#N/A</v>
      </c>
      <c r="G97" s="1" t="e">
        <f>VLOOKUP(V97,[1]ExpectedDeliveryTime_ID!$A$2:$B$12,2,FALSE)</f>
        <v>#N/A</v>
      </c>
      <c r="H97" s="1" t="e">
        <f>VLOOKUP(AC97,[1]PaymentModel_ID!$A$2:$B$7,2,FALSE)</f>
        <v>#N/A</v>
      </c>
      <c r="I97" s="1" t="e">
        <f>VLOOKUP(W97,[1]ExpectedInvoiceDate_ID!$A$2:$B$12,2,FALSE)</f>
        <v>#N/A</v>
      </c>
      <c r="J97" s="1" t="e">
        <f>VLOOKUP(X97,[1]GrantOfRights_ID!$A$2:$B$7,2,FALSE)</f>
        <v>#N/A</v>
      </c>
      <c r="K97" s="1" t="str">
        <f>VLOOKUP(AE97,[1]Profile!$A$2:$B$8,2,FALSE)</f>
        <v>License</v>
      </c>
      <c r="M97" s="1" t="str">
        <f>VLOOKUP(Y97,[1]License_Method_ID!$A$2:$B$13,2,FALSE)</f>
        <v>no technical license protection</v>
      </c>
      <c r="O97" s="1">
        <v>10</v>
      </c>
      <c r="P97" s="1">
        <v>50</v>
      </c>
      <c r="Q97" s="1" t="str">
        <f>VLOOKUP(AB97,[1]Operational_Profit_Type_ID!$A$2:$B$3,2,FALSE)</f>
        <v>Fix rate</v>
      </c>
      <c r="R97" s="1" t="s">
        <v>55</v>
      </c>
      <c r="T97" s="1" t="str">
        <f>VLOOKUP(AD97,[1]UpdateRightID!$A$2:$B$4,2,FALSE)</f>
        <v>none</v>
      </c>
      <c r="U97" s="1" t="s">
        <v>48</v>
      </c>
      <c r="Y97" s="1">
        <v>0</v>
      </c>
      <c r="AB97" s="1">
        <v>1</v>
      </c>
      <c r="AD97" s="1">
        <v>0</v>
      </c>
      <c r="AE97" s="1">
        <v>1</v>
      </c>
    </row>
    <row r="98" spans="1:31" ht="195">
      <c r="A98" s="1" t="s">
        <v>43</v>
      </c>
      <c r="B98" s="1" t="s">
        <v>289</v>
      </c>
      <c r="C98" t="s">
        <v>290</v>
      </c>
      <c r="D98" s="1" t="s">
        <v>291</v>
      </c>
      <c r="E98" s="1" t="str">
        <f>VLOOKUP(Z98,[1]LicenseDuration_ID!$A$2:$B$8,2,FALSE)</f>
        <v>perpetual</v>
      </c>
      <c r="F98" s="1" t="str">
        <f>VLOOKUP(AA98,[1]MaintenanceDuration_ID!$A$2:$B$5,2,FALSE)</f>
        <v>12 months</v>
      </c>
      <c r="G98" s="1" t="str">
        <f>VLOOKUP(V98,[1]ExpectedDeliveryTime_ID!$A$2:$B$12,2,FALSE)</f>
        <v>FINALIZED PURCHASE PROCESS + 2 weeks</v>
      </c>
      <c r="H98" s="1" t="str">
        <f>VLOOKUP(AC98,[1]PaymentModel_ID!$A$2:$B$7,2,FALSE)</f>
        <v>One-time payment</v>
      </c>
      <c r="I98" s="1" t="str">
        <f>VLOOKUP(W98,[1]ExpectedInvoiceDate_ID!$A$2:$B$12,2,FALSE)</f>
        <v>With FINAL DELIVERY</v>
      </c>
      <c r="J98" s="1" t="str">
        <f>VLOOKUP(X98,[1]GrantOfRights_ID!$A$2:$B$7,2,FALSE)</f>
        <v>Reproduction and Distribution License</v>
      </c>
      <c r="K98" s="1" t="str">
        <f>VLOOKUP(AE98,[1]Profile!$A$2:$B$8,2,FALSE)</f>
        <v>License</v>
      </c>
      <c r="M98" s="1" t="str">
        <f>VLOOKUP(Y98,[1]License_Method_ID!$A$2:$B$13,2,FALSE)</f>
        <v>no technical license protection</v>
      </c>
      <c r="N98" s="1" t="s">
        <v>47</v>
      </c>
      <c r="O98" s="1">
        <v>10</v>
      </c>
      <c r="P98" s="1">
        <v>50</v>
      </c>
      <c r="Q98" s="1" t="str">
        <f>VLOOKUP(AB98,[1]Operational_Profit_Type_ID!$A$2:$B$3,2,FALSE)</f>
        <v>Fix rate</v>
      </c>
      <c r="R98" s="1" t="s">
        <v>48</v>
      </c>
      <c r="T98" s="1" t="str">
        <f>VLOOKUP(AD98,[1]UpdateRightID!$A$2:$B$4,2,FALSE)</f>
        <v>UpdateRightByConfiguration</v>
      </c>
      <c r="U98" s="1" t="s">
        <v>48</v>
      </c>
      <c r="V98" s="1">
        <v>2</v>
      </c>
      <c r="W98" s="1">
        <v>7</v>
      </c>
      <c r="X98" s="1">
        <v>5</v>
      </c>
      <c r="Y98" s="1">
        <v>0</v>
      </c>
      <c r="Z98" s="1">
        <v>6</v>
      </c>
      <c r="AA98" s="1">
        <v>3</v>
      </c>
      <c r="AB98" s="1">
        <v>1</v>
      </c>
      <c r="AC98" s="1">
        <v>2</v>
      </c>
      <c r="AD98" s="1">
        <v>1</v>
      </c>
      <c r="AE98" s="1">
        <v>1</v>
      </c>
    </row>
    <row r="99" spans="1:31" ht="30">
      <c r="B99" s="1" t="s">
        <v>292</v>
      </c>
      <c r="C99" t="s">
        <v>293</v>
      </c>
      <c r="D99" s="1" t="s">
        <v>112</v>
      </c>
      <c r="E99" s="1" t="e">
        <f>VLOOKUP(Z99,[1]LicenseDuration_ID!$A$2:$B$8,2,FALSE)</f>
        <v>#N/A</v>
      </c>
      <c r="F99" s="1" t="e">
        <f>VLOOKUP(AA99,[1]MaintenanceDuration_ID!$A$2:$B$5,2,FALSE)</f>
        <v>#N/A</v>
      </c>
      <c r="G99" s="1" t="e">
        <f>VLOOKUP(V99,[1]ExpectedDeliveryTime_ID!$A$2:$B$12,2,FALSE)</f>
        <v>#N/A</v>
      </c>
      <c r="H99" s="1" t="e">
        <f>VLOOKUP(AC99,[1]PaymentModel_ID!$A$2:$B$7,2,FALSE)</f>
        <v>#N/A</v>
      </c>
      <c r="I99" s="1" t="e">
        <f>VLOOKUP(W99,[1]ExpectedInvoiceDate_ID!$A$2:$B$12,2,FALSE)</f>
        <v>#N/A</v>
      </c>
      <c r="J99" s="1" t="e">
        <f>VLOOKUP(X99,[1]GrantOfRights_ID!$A$2:$B$7,2,FALSE)</f>
        <v>#N/A</v>
      </c>
      <c r="K99" s="1" t="str">
        <f>VLOOKUP(AE99,[1]Profile!$A$2:$B$8,2,FALSE)</f>
        <v>License</v>
      </c>
      <c r="M99" s="1" t="str">
        <f>VLOOKUP(Y99,[1]License_Method_ID!$A$2:$B$13,2,FALSE)</f>
        <v>no technical license protection</v>
      </c>
      <c r="O99" s="1">
        <v>10</v>
      </c>
      <c r="P99" s="1">
        <v>50</v>
      </c>
      <c r="Q99" s="1" t="str">
        <f>VLOOKUP(AB99,[1]Operational_Profit_Type_ID!$A$2:$B$3,2,FALSE)</f>
        <v>Fix rate</v>
      </c>
      <c r="R99" s="1" t="s">
        <v>55</v>
      </c>
      <c r="T99" s="1" t="str">
        <f>VLOOKUP(AD99,[1]UpdateRightID!$A$2:$B$4,2,FALSE)</f>
        <v>none</v>
      </c>
      <c r="U99" s="1" t="s">
        <v>48</v>
      </c>
      <c r="Y99" s="1">
        <v>0</v>
      </c>
      <c r="AB99" s="1">
        <v>1</v>
      </c>
      <c r="AD99" s="1">
        <v>0</v>
      </c>
      <c r="AE99" s="1">
        <v>1</v>
      </c>
    </row>
    <row r="100" spans="1:31" ht="75">
      <c r="B100" s="1" t="s">
        <v>294</v>
      </c>
      <c r="C100" t="s">
        <v>295</v>
      </c>
      <c r="D100" s="1" t="s">
        <v>296</v>
      </c>
      <c r="E100" s="1" t="e">
        <f>VLOOKUP(Z100,[1]LicenseDuration_ID!$A$2:$B$8,2,FALSE)</f>
        <v>#N/A</v>
      </c>
      <c r="F100" s="1" t="e">
        <f>VLOOKUP(AA100,[1]MaintenanceDuration_ID!$A$2:$B$5,2,FALSE)</f>
        <v>#N/A</v>
      </c>
      <c r="G100" s="1" t="e">
        <f>VLOOKUP(V100,[1]ExpectedDeliveryTime_ID!$A$2:$B$12,2,FALSE)</f>
        <v>#N/A</v>
      </c>
      <c r="H100" s="1" t="e">
        <f>VLOOKUP(AC100,[1]PaymentModel_ID!$A$2:$B$7,2,FALSE)</f>
        <v>#N/A</v>
      </c>
      <c r="I100" s="1" t="e">
        <f>VLOOKUP(W100,[1]ExpectedInvoiceDate_ID!$A$2:$B$12,2,FALSE)</f>
        <v>#N/A</v>
      </c>
      <c r="J100" s="1" t="e">
        <f>VLOOKUP(X100,[1]GrantOfRights_ID!$A$2:$B$7,2,FALSE)</f>
        <v>#N/A</v>
      </c>
      <c r="K100" s="1" t="str">
        <f>VLOOKUP(AE100,[1]Profile!$A$2:$B$8,2,FALSE)</f>
        <v>Product related service without profile</v>
      </c>
      <c r="M100" s="1" t="str">
        <f>VLOOKUP(Y100,[1]License_Method_ID!$A$2:$B$13,2,FALSE)</f>
        <v>no technical license protection</v>
      </c>
      <c r="O100" s="1">
        <v>10</v>
      </c>
      <c r="Q100" s="1" t="str">
        <f>VLOOKUP(AB100,[1]Operational_Profit_Type_ID!$A$2:$B$3,2,FALSE)</f>
        <v>Calculated</v>
      </c>
      <c r="R100" s="1" t="s">
        <v>55</v>
      </c>
      <c r="T100" s="1" t="str">
        <f>VLOOKUP(AD100,[1]UpdateRightID!$A$2:$B$4,2,FALSE)</f>
        <v>none</v>
      </c>
      <c r="U100" s="1" t="s">
        <v>48</v>
      </c>
      <c r="Y100" s="1">
        <v>0</v>
      </c>
      <c r="AB100" s="1">
        <v>2</v>
      </c>
      <c r="AD100" s="1">
        <v>0</v>
      </c>
      <c r="AE100" s="1">
        <v>0</v>
      </c>
    </row>
    <row r="101" spans="1:31" ht="105">
      <c r="B101" s="1" t="s">
        <v>297</v>
      </c>
      <c r="C101" t="s">
        <v>298</v>
      </c>
      <c r="D101" s="1" t="s">
        <v>299</v>
      </c>
      <c r="E101" s="1" t="e">
        <f>VLOOKUP(Z101,[1]LicenseDuration_ID!$A$2:$B$8,2,FALSE)</f>
        <v>#N/A</v>
      </c>
      <c r="F101" s="1" t="e">
        <f>VLOOKUP(AA101,[1]MaintenanceDuration_ID!$A$2:$B$5,2,FALSE)</f>
        <v>#N/A</v>
      </c>
      <c r="G101" s="1" t="e">
        <f>VLOOKUP(V101,[1]ExpectedDeliveryTime_ID!$A$2:$B$12,2,FALSE)</f>
        <v>#N/A</v>
      </c>
      <c r="H101" s="1" t="e">
        <f>VLOOKUP(AC101,[1]PaymentModel_ID!$A$2:$B$7,2,FALSE)</f>
        <v>#N/A</v>
      </c>
      <c r="I101" s="1" t="e">
        <f>VLOOKUP(W101,[1]ExpectedInvoiceDate_ID!$A$2:$B$12,2,FALSE)</f>
        <v>#N/A</v>
      </c>
      <c r="J101" s="1" t="e">
        <f>VLOOKUP(X101,[1]GrantOfRights_ID!$A$2:$B$7,2,FALSE)</f>
        <v>#N/A</v>
      </c>
      <c r="K101" s="1" t="str">
        <f>VLOOKUP(AE101,[1]Profile!$A$2:$B$8,2,FALSE)</f>
        <v>Product related service without profile</v>
      </c>
      <c r="M101" s="1" t="str">
        <f>VLOOKUP(Y101,[1]License_Method_ID!$A$2:$B$13,2,FALSE)</f>
        <v>no technical license protection</v>
      </c>
      <c r="O101" s="1">
        <v>10</v>
      </c>
      <c r="Q101" s="1" t="str">
        <f>VLOOKUP(AB101,[1]Operational_Profit_Type_ID!$A$2:$B$3,2,FALSE)</f>
        <v>Calculated</v>
      </c>
      <c r="R101" s="1" t="s">
        <v>55</v>
      </c>
      <c r="T101" s="1" t="str">
        <f>VLOOKUP(AD101,[1]UpdateRightID!$A$2:$B$4,2,FALSE)</f>
        <v>none</v>
      </c>
      <c r="U101" s="1" t="s">
        <v>48</v>
      </c>
      <c r="Y101" s="1">
        <v>0</v>
      </c>
      <c r="AB101" s="1">
        <v>2</v>
      </c>
      <c r="AD101" s="1">
        <v>0</v>
      </c>
      <c r="AE101" s="1">
        <v>0</v>
      </c>
    </row>
    <row r="102" spans="1:31" ht="75">
      <c r="B102" s="1" t="s">
        <v>300</v>
      </c>
      <c r="C102" t="s">
        <v>301</v>
      </c>
      <c r="D102" s="1" t="s">
        <v>302</v>
      </c>
      <c r="E102" s="1" t="e">
        <f>VLOOKUP(Z102,[1]LicenseDuration_ID!$A$2:$B$8,2,FALSE)</f>
        <v>#N/A</v>
      </c>
      <c r="F102" s="1" t="e">
        <f>VLOOKUP(AA102,[1]MaintenanceDuration_ID!$A$2:$B$5,2,FALSE)</f>
        <v>#N/A</v>
      </c>
      <c r="G102" s="1" t="e">
        <f>VLOOKUP(V102,[1]ExpectedDeliveryTime_ID!$A$2:$B$12,2,FALSE)</f>
        <v>#N/A</v>
      </c>
      <c r="H102" s="1" t="e">
        <f>VLOOKUP(AC102,[1]PaymentModel_ID!$A$2:$B$7,2,FALSE)</f>
        <v>#N/A</v>
      </c>
      <c r="I102" s="1" t="e">
        <f>VLOOKUP(W102,[1]ExpectedInvoiceDate_ID!$A$2:$B$12,2,FALSE)</f>
        <v>#N/A</v>
      </c>
      <c r="J102" s="1" t="e">
        <f>VLOOKUP(X102,[1]GrantOfRights_ID!$A$2:$B$7,2,FALSE)</f>
        <v>#N/A</v>
      </c>
      <c r="K102" s="1" t="str">
        <f>VLOOKUP(AE102,[1]Profile!$A$2:$B$8,2,FALSE)</f>
        <v>Product related service without profile</v>
      </c>
      <c r="M102" s="1" t="str">
        <f>VLOOKUP(Y102,[1]License_Method_ID!$A$2:$B$13,2,FALSE)</f>
        <v>no technical license protection</v>
      </c>
      <c r="N102" s="1" t="s">
        <v>88</v>
      </c>
      <c r="O102" s="1">
        <v>10</v>
      </c>
      <c r="Q102" s="1" t="str">
        <f>VLOOKUP(AB102,[1]Operational_Profit_Type_ID!$A$2:$B$3,2,FALSE)</f>
        <v>Calculated</v>
      </c>
      <c r="R102" s="1" t="s">
        <v>55</v>
      </c>
      <c r="T102" s="1" t="str">
        <f>VLOOKUP(AD102,[1]UpdateRightID!$A$2:$B$4,2,FALSE)</f>
        <v>none</v>
      </c>
      <c r="U102" s="1" t="s">
        <v>48</v>
      </c>
      <c r="Y102" s="1">
        <v>0</v>
      </c>
      <c r="AB102" s="1">
        <v>2</v>
      </c>
      <c r="AD102" s="1">
        <v>0</v>
      </c>
      <c r="AE102" s="1">
        <v>0</v>
      </c>
    </row>
    <row r="103" spans="1:31" ht="225">
      <c r="B103" s="1" t="s">
        <v>303</v>
      </c>
      <c r="C103" t="s">
        <v>304</v>
      </c>
      <c r="D103" s="1" t="s">
        <v>305</v>
      </c>
      <c r="E103" s="1" t="e">
        <f>VLOOKUP(Z103,[1]LicenseDuration_ID!$A$2:$B$8,2,FALSE)</f>
        <v>#N/A</v>
      </c>
      <c r="F103" s="1" t="e">
        <f>VLOOKUP(AA103,[1]MaintenanceDuration_ID!$A$2:$B$5,2,FALSE)</f>
        <v>#N/A</v>
      </c>
      <c r="G103" s="1" t="e">
        <f>VLOOKUP(V103,[1]ExpectedDeliveryTime_ID!$A$2:$B$12,2,FALSE)</f>
        <v>#N/A</v>
      </c>
      <c r="H103" s="1" t="e">
        <f>VLOOKUP(AC103,[1]PaymentModel_ID!$A$2:$B$7,2,FALSE)</f>
        <v>#N/A</v>
      </c>
      <c r="I103" s="1" t="e">
        <f>VLOOKUP(W103,[1]ExpectedInvoiceDate_ID!$A$2:$B$12,2,FALSE)</f>
        <v>#N/A</v>
      </c>
      <c r="J103" s="1" t="e">
        <f>VLOOKUP(X103,[1]GrantOfRights_ID!$A$2:$B$7,2,FALSE)</f>
        <v>#N/A</v>
      </c>
      <c r="K103" s="1" t="str">
        <f>VLOOKUP(AE103,[1]Profile!$A$2:$B$8,2,FALSE)</f>
        <v>Product related service without profile</v>
      </c>
      <c r="M103" s="1" t="str">
        <f>VLOOKUP(Y103,[1]License_Method_ID!$A$2:$B$13,2,FALSE)</f>
        <v>no technical license protection</v>
      </c>
      <c r="O103" s="1">
        <v>10</v>
      </c>
      <c r="Q103" s="1" t="str">
        <f>VLOOKUP(AB103,[1]Operational_Profit_Type_ID!$A$2:$B$3,2,FALSE)</f>
        <v>Calculated</v>
      </c>
      <c r="R103" s="1" t="s">
        <v>55</v>
      </c>
      <c r="T103" s="1" t="str">
        <f>VLOOKUP(AD103,[1]UpdateRightID!$A$2:$B$4,2,FALSE)</f>
        <v>none</v>
      </c>
      <c r="U103" s="1" t="s">
        <v>48</v>
      </c>
      <c r="Y103" s="1">
        <v>0</v>
      </c>
      <c r="AB103" s="1">
        <v>2</v>
      </c>
      <c r="AD103" s="1">
        <v>0</v>
      </c>
      <c r="AE103" s="1">
        <v>0</v>
      </c>
    </row>
    <row r="104" spans="1:31" ht="75">
      <c r="B104" s="1" t="s">
        <v>306</v>
      </c>
      <c r="C104" t="s">
        <v>307</v>
      </c>
      <c r="E104" s="1" t="e">
        <f>VLOOKUP(Z104,[1]LicenseDuration_ID!$A$2:$B$8,2,FALSE)</f>
        <v>#N/A</v>
      </c>
      <c r="F104" s="1" t="e">
        <f>VLOOKUP(AA104,[1]MaintenanceDuration_ID!$A$2:$B$5,2,FALSE)</f>
        <v>#N/A</v>
      </c>
      <c r="G104" s="1" t="e">
        <f>VLOOKUP(V104,[1]ExpectedDeliveryTime_ID!$A$2:$B$12,2,FALSE)</f>
        <v>#N/A</v>
      </c>
      <c r="H104" s="1" t="e">
        <f>VLOOKUP(AC104,[1]PaymentModel_ID!$A$2:$B$7,2,FALSE)</f>
        <v>#N/A</v>
      </c>
      <c r="I104" s="1" t="e">
        <f>VLOOKUP(W104,[1]ExpectedInvoiceDate_ID!$A$2:$B$12,2,FALSE)</f>
        <v>#N/A</v>
      </c>
      <c r="J104" s="1" t="e">
        <f>VLOOKUP(X104,[1]GrantOfRights_ID!$A$2:$B$7,2,FALSE)</f>
        <v>#N/A</v>
      </c>
      <c r="K104" s="1" t="str">
        <f>VLOOKUP(AE104,[1]Profile!$A$2:$B$8,2,FALSE)</f>
        <v>Product related service without profile</v>
      </c>
      <c r="M104" s="1" t="str">
        <f>VLOOKUP(Y104,[1]License_Method_ID!$A$2:$B$13,2,FALSE)</f>
        <v>no technical license protection</v>
      </c>
      <c r="O104" s="1">
        <v>10</v>
      </c>
      <c r="Q104" s="1" t="str">
        <f>VLOOKUP(AB104,[1]Operational_Profit_Type_ID!$A$2:$B$3,2,FALSE)</f>
        <v>Calculated</v>
      </c>
      <c r="R104" s="1" t="s">
        <v>55</v>
      </c>
      <c r="T104" s="1" t="str">
        <f>VLOOKUP(AD104,[1]UpdateRightID!$A$2:$B$4,2,FALSE)</f>
        <v>none</v>
      </c>
      <c r="U104" s="1" t="s">
        <v>48</v>
      </c>
      <c r="Y104" s="1">
        <v>0</v>
      </c>
      <c r="AB104" s="1">
        <v>2</v>
      </c>
      <c r="AD104" s="1">
        <v>0</v>
      </c>
      <c r="AE104" s="1">
        <v>0</v>
      </c>
    </row>
    <row r="105" spans="1:31" ht="75">
      <c r="A105" s="1" t="s">
        <v>43</v>
      </c>
      <c r="B105" s="1" t="s">
        <v>308</v>
      </c>
      <c r="C105" t="s">
        <v>309</v>
      </c>
      <c r="E105" s="1" t="str">
        <f>VLOOKUP(Z105,[1]LicenseDuration_ID!$A$2:$B$8,2,FALSE)</f>
        <v>n/a</v>
      </c>
      <c r="F105" s="1" t="str">
        <f>VLOOKUP(AA105,[1]MaintenanceDuration_ID!$A$2:$B$5,2,FALSE)</f>
        <v>n/a</v>
      </c>
      <c r="G105" s="1" t="str">
        <f>VLOOKUP(V105,[1]ExpectedDeliveryTime_ID!$A$2:$B$12,2,FALSE)</f>
        <v>In mutual alignment with the project</v>
      </c>
      <c r="H105" s="1" t="str">
        <f>VLOOKUP(AC105,[1]PaymentModel_ID!$A$2:$B$7,2,FALSE)</f>
        <v>One-time payment</v>
      </c>
      <c r="I105" s="1" t="str">
        <f>VLOOKUP(W105,[1]ExpectedInvoiceDate_ID!$A$2:$B$12,2,FALSE)</f>
        <v>With FINAL DELIVERY</v>
      </c>
      <c r="J105" s="1" t="str">
        <f>VLOOKUP(X105,[1]GrantOfRights_ID!$A$2:$B$7,2,FALSE)</f>
        <v>n/a</v>
      </c>
      <c r="K105" s="1" t="str">
        <f>VLOOKUP(AE105,[1]Profile!$A$2:$B$8,2,FALSE)</f>
        <v>Product related service without profile</v>
      </c>
      <c r="M105" s="1" t="str">
        <f>VLOOKUP(Y105,[1]License_Method_ID!$A$2:$B$13,2,FALSE)</f>
        <v>no technical license protection</v>
      </c>
      <c r="N105" s="1" t="s">
        <v>88</v>
      </c>
      <c r="O105" s="1">
        <v>10</v>
      </c>
      <c r="Q105" s="1" t="str">
        <f>VLOOKUP(AB105,[1]Operational_Profit_Type_ID!$A$2:$B$3,2,FALSE)</f>
        <v>Calculated</v>
      </c>
      <c r="R105" s="1" t="s">
        <v>55</v>
      </c>
      <c r="T105" s="1" t="str">
        <f>VLOOKUP(AD105,[1]UpdateRightID!$A$2:$B$4,2,FALSE)</f>
        <v>none</v>
      </c>
      <c r="U105" s="1" t="s">
        <v>48</v>
      </c>
      <c r="V105" s="1">
        <v>18</v>
      </c>
      <c r="W105" s="1">
        <v>7</v>
      </c>
      <c r="X105" s="1">
        <v>1</v>
      </c>
      <c r="Y105" s="1">
        <v>0</v>
      </c>
      <c r="Z105" s="1">
        <v>1</v>
      </c>
      <c r="AA105" s="1">
        <v>1</v>
      </c>
      <c r="AB105" s="1">
        <v>2</v>
      </c>
      <c r="AC105" s="1">
        <v>2</v>
      </c>
      <c r="AD105" s="1">
        <v>0</v>
      </c>
      <c r="AE105" s="1">
        <v>0</v>
      </c>
    </row>
    <row r="106" spans="1:31">
      <c r="B106" s="1" t="s">
        <v>310</v>
      </c>
      <c r="C106" t="s">
        <v>311</v>
      </c>
      <c r="E106" s="1" t="e">
        <f>VLOOKUP(Z106,[1]LicenseDuration_ID!$A$2:$B$8,2,FALSE)</f>
        <v>#N/A</v>
      </c>
      <c r="F106" s="1" t="e">
        <f>VLOOKUP(AA106,[1]MaintenanceDuration_ID!$A$2:$B$5,2,FALSE)</f>
        <v>#N/A</v>
      </c>
      <c r="G106" s="1" t="e">
        <f>VLOOKUP(V106,[1]ExpectedDeliveryTime_ID!$A$2:$B$12,2,FALSE)</f>
        <v>#N/A</v>
      </c>
      <c r="H106" s="1" t="e">
        <f>VLOOKUP(AC106,[1]PaymentModel_ID!$A$2:$B$7,2,FALSE)</f>
        <v>#N/A</v>
      </c>
      <c r="I106" s="1" t="e">
        <f>VLOOKUP(W106,[1]ExpectedInvoiceDate_ID!$A$2:$B$12,2,FALSE)</f>
        <v>#N/A</v>
      </c>
      <c r="J106" s="1" t="e">
        <f>VLOOKUP(X106,[1]GrantOfRights_ID!$A$2:$B$7,2,FALSE)</f>
        <v>#N/A</v>
      </c>
      <c r="K106" s="1" t="str">
        <f>VLOOKUP(AE106,[1]Profile!$A$2:$B$8,2,FALSE)</f>
        <v>License</v>
      </c>
      <c r="M106" s="1" t="str">
        <f>VLOOKUP(Y106,[1]License_Method_ID!$A$2:$B$13,2,FALSE)</f>
        <v>no technical license protection</v>
      </c>
      <c r="O106" s="1">
        <v>10</v>
      </c>
      <c r="P106" s="1">
        <v>50</v>
      </c>
      <c r="Q106" s="1" t="str">
        <f>VLOOKUP(AB106,[1]Operational_Profit_Type_ID!$A$2:$B$3,2,FALSE)</f>
        <v>Fix rate</v>
      </c>
      <c r="R106" s="1" t="s">
        <v>55</v>
      </c>
      <c r="T106" s="1" t="str">
        <f>VLOOKUP(AD106,[1]UpdateRightID!$A$2:$B$4,2,FALSE)</f>
        <v>none</v>
      </c>
      <c r="U106" s="1" t="s">
        <v>48</v>
      </c>
      <c r="Y106" s="1">
        <v>0</v>
      </c>
      <c r="AB106" s="1">
        <v>1</v>
      </c>
      <c r="AD106" s="1">
        <v>0</v>
      </c>
      <c r="AE106" s="1">
        <v>1</v>
      </c>
    </row>
    <row r="107" spans="1:31" ht="270">
      <c r="B107" s="1" t="s">
        <v>312</v>
      </c>
      <c r="C107" t="s">
        <v>313</v>
      </c>
      <c r="D107" s="1" t="s">
        <v>314</v>
      </c>
      <c r="E107" s="1" t="e">
        <f>VLOOKUP(Z107,[1]LicenseDuration_ID!$A$2:$B$8,2,FALSE)</f>
        <v>#N/A</v>
      </c>
      <c r="F107" s="1" t="e">
        <f>VLOOKUP(AA107,[1]MaintenanceDuration_ID!$A$2:$B$5,2,FALSE)</f>
        <v>#N/A</v>
      </c>
      <c r="G107" s="1" t="e">
        <f>VLOOKUP(V107,[1]ExpectedDeliveryTime_ID!$A$2:$B$12,2,FALSE)</f>
        <v>#N/A</v>
      </c>
      <c r="H107" s="1" t="e">
        <f>VLOOKUP(AC107,[1]PaymentModel_ID!$A$2:$B$7,2,FALSE)</f>
        <v>#N/A</v>
      </c>
      <c r="I107" s="1" t="e">
        <f>VLOOKUP(W107,[1]ExpectedInvoiceDate_ID!$A$2:$B$12,2,FALSE)</f>
        <v>#N/A</v>
      </c>
      <c r="J107" s="1" t="e">
        <f>VLOOKUP(X107,[1]GrantOfRights_ID!$A$2:$B$7,2,FALSE)</f>
        <v>#N/A</v>
      </c>
      <c r="K107" s="1" t="str">
        <f>VLOOKUP(AE107,[1]Profile!$A$2:$B$8,2,FALSE)</f>
        <v>License</v>
      </c>
      <c r="M107" s="1" t="str">
        <f>VLOOKUP(Y107,[1]License_Method_ID!$A$2:$B$13,2,FALSE)</f>
        <v>no technical license protection</v>
      </c>
      <c r="O107" s="1">
        <v>10</v>
      </c>
      <c r="P107" s="1">
        <v>50</v>
      </c>
      <c r="Q107" s="1" t="str">
        <f>VLOOKUP(AB107,[1]Operational_Profit_Type_ID!$A$2:$B$3,2,FALSE)</f>
        <v>Fix rate</v>
      </c>
      <c r="R107" s="1" t="s">
        <v>55</v>
      </c>
      <c r="T107" s="1" t="str">
        <f>VLOOKUP(AD107,[1]UpdateRightID!$A$2:$B$4,2,FALSE)</f>
        <v>none</v>
      </c>
      <c r="U107" s="1" t="s">
        <v>48</v>
      </c>
      <c r="Y107" s="1">
        <v>0</v>
      </c>
      <c r="AB107" s="1">
        <v>1</v>
      </c>
      <c r="AD107" s="1">
        <v>0</v>
      </c>
      <c r="AE107" s="1">
        <v>1</v>
      </c>
    </row>
    <row r="108" spans="1:31" ht="30">
      <c r="B108" s="1" t="s">
        <v>315</v>
      </c>
      <c r="C108" t="s">
        <v>316</v>
      </c>
      <c r="D108" s="1" t="s">
        <v>317</v>
      </c>
      <c r="E108" s="1" t="e">
        <f>VLOOKUP(Z108,[1]LicenseDuration_ID!$A$2:$B$8,2,FALSE)</f>
        <v>#N/A</v>
      </c>
      <c r="F108" s="1" t="e">
        <f>VLOOKUP(AA108,[1]MaintenanceDuration_ID!$A$2:$B$5,2,FALSE)</f>
        <v>#N/A</v>
      </c>
      <c r="G108" s="1" t="e">
        <f>VLOOKUP(V108,[1]ExpectedDeliveryTime_ID!$A$2:$B$12,2,FALSE)</f>
        <v>#N/A</v>
      </c>
      <c r="H108" s="1" t="e">
        <f>VLOOKUP(AC108,[1]PaymentModel_ID!$A$2:$B$7,2,FALSE)</f>
        <v>#N/A</v>
      </c>
      <c r="I108" s="1" t="e">
        <f>VLOOKUP(W108,[1]ExpectedInvoiceDate_ID!$A$2:$B$12,2,FALSE)</f>
        <v>#N/A</v>
      </c>
      <c r="J108" s="1" t="e">
        <f>VLOOKUP(X108,[1]GrantOfRights_ID!$A$2:$B$7,2,FALSE)</f>
        <v>#N/A</v>
      </c>
      <c r="K108" s="1" t="str">
        <f>VLOOKUP(AE108,[1]Profile!$A$2:$B$8,2,FALSE)</f>
        <v>License</v>
      </c>
      <c r="M108" s="1" t="str">
        <f>VLOOKUP(Y108,[1]License_Method_ID!$A$2:$B$13,2,FALSE)</f>
        <v>no technical license protection</v>
      </c>
      <c r="O108" s="1">
        <v>10</v>
      </c>
      <c r="P108" s="1">
        <v>50</v>
      </c>
      <c r="Q108" s="1" t="str">
        <f>VLOOKUP(AB108,[1]Operational_Profit_Type_ID!$A$2:$B$3,2,FALSE)</f>
        <v>Fix rate</v>
      </c>
      <c r="R108" s="1" t="s">
        <v>55</v>
      </c>
      <c r="T108" s="1" t="str">
        <f>VLOOKUP(AD108,[1]UpdateRightID!$A$2:$B$4,2,FALSE)</f>
        <v>none</v>
      </c>
      <c r="U108" s="1" t="s">
        <v>48</v>
      </c>
      <c r="Y108" s="1">
        <v>0</v>
      </c>
      <c r="AB108" s="1">
        <v>1</v>
      </c>
      <c r="AD108" s="1">
        <v>0</v>
      </c>
      <c r="AE108" s="1">
        <v>1</v>
      </c>
    </row>
    <row r="109" spans="1:31" ht="210">
      <c r="B109" s="1" t="s">
        <v>318</v>
      </c>
      <c r="C109" t="s">
        <v>319</v>
      </c>
      <c r="D109" s="1" t="s">
        <v>320</v>
      </c>
      <c r="E109" s="1" t="e">
        <f>VLOOKUP(Z109,[1]LicenseDuration_ID!$A$2:$B$8,2,FALSE)</f>
        <v>#N/A</v>
      </c>
      <c r="F109" s="1" t="e">
        <f>VLOOKUP(AA109,[1]MaintenanceDuration_ID!$A$2:$B$5,2,FALSE)</f>
        <v>#N/A</v>
      </c>
      <c r="G109" s="1" t="e">
        <f>VLOOKUP(V109,[1]ExpectedDeliveryTime_ID!$A$2:$B$12,2,FALSE)</f>
        <v>#N/A</v>
      </c>
      <c r="H109" s="1" t="e">
        <f>VLOOKUP(AC109,[1]PaymentModel_ID!$A$2:$B$7,2,FALSE)</f>
        <v>#N/A</v>
      </c>
      <c r="I109" s="1" t="e">
        <f>VLOOKUP(W109,[1]ExpectedInvoiceDate_ID!$A$2:$B$12,2,FALSE)</f>
        <v>#N/A</v>
      </c>
      <c r="J109" s="1" t="e">
        <f>VLOOKUP(X109,[1]GrantOfRights_ID!$A$2:$B$7,2,FALSE)</f>
        <v>#N/A</v>
      </c>
      <c r="K109" s="1" t="str">
        <f>VLOOKUP(AE109,[1]Profile!$A$2:$B$8,2,FALSE)</f>
        <v>Product related service without profile</v>
      </c>
      <c r="M109" s="1" t="str">
        <f>VLOOKUP(Y109,[1]License_Method_ID!$A$2:$B$13,2,FALSE)</f>
        <v>no technical license protection</v>
      </c>
      <c r="O109" s="1">
        <v>10</v>
      </c>
      <c r="Q109" s="1" t="str">
        <f>VLOOKUP(AB109,[1]Operational_Profit_Type_ID!$A$2:$B$3,2,FALSE)</f>
        <v>Calculated</v>
      </c>
      <c r="R109" s="1" t="s">
        <v>55</v>
      </c>
      <c r="T109" s="1" t="str">
        <f>VLOOKUP(AD109,[1]UpdateRightID!$A$2:$B$4,2,FALSE)</f>
        <v>none</v>
      </c>
      <c r="U109" s="1" t="s">
        <v>48</v>
      </c>
      <c r="Y109" s="1">
        <v>0</v>
      </c>
      <c r="AB109" s="1">
        <v>2</v>
      </c>
      <c r="AD109" s="1">
        <v>0</v>
      </c>
      <c r="AE109" s="1">
        <v>0</v>
      </c>
    </row>
    <row r="110" spans="1:31" ht="210">
      <c r="B110" s="1" t="s">
        <v>321</v>
      </c>
      <c r="C110" t="s">
        <v>322</v>
      </c>
      <c r="D110" s="1" t="s">
        <v>323</v>
      </c>
      <c r="E110" s="1" t="e">
        <f>VLOOKUP(Z110,[1]LicenseDuration_ID!$A$2:$B$8,2,FALSE)</f>
        <v>#N/A</v>
      </c>
      <c r="F110" s="1" t="e">
        <f>VLOOKUP(AA110,[1]MaintenanceDuration_ID!$A$2:$B$5,2,FALSE)</f>
        <v>#N/A</v>
      </c>
      <c r="G110" s="1" t="e">
        <f>VLOOKUP(V110,[1]ExpectedDeliveryTime_ID!$A$2:$B$12,2,FALSE)</f>
        <v>#N/A</v>
      </c>
      <c r="H110" s="1" t="e">
        <f>VLOOKUP(AC110,[1]PaymentModel_ID!$A$2:$B$7,2,FALSE)</f>
        <v>#N/A</v>
      </c>
      <c r="I110" s="1" t="e">
        <f>VLOOKUP(W110,[1]ExpectedInvoiceDate_ID!$A$2:$B$12,2,FALSE)</f>
        <v>#N/A</v>
      </c>
      <c r="J110" s="1" t="e">
        <f>VLOOKUP(X110,[1]GrantOfRights_ID!$A$2:$B$7,2,FALSE)</f>
        <v>#N/A</v>
      </c>
      <c r="K110" s="1" t="str">
        <f>VLOOKUP(AE110,[1]Profile!$A$2:$B$8,2,FALSE)</f>
        <v>Product related service without profile</v>
      </c>
      <c r="M110" s="1" t="str">
        <f>VLOOKUP(Y110,[1]License_Method_ID!$A$2:$B$13,2,FALSE)</f>
        <v>no technical license protection</v>
      </c>
      <c r="O110" s="1">
        <v>10</v>
      </c>
      <c r="Q110" s="1" t="str">
        <f>VLOOKUP(AB110,[1]Operational_Profit_Type_ID!$A$2:$B$3,2,FALSE)</f>
        <v>Calculated</v>
      </c>
      <c r="R110" s="1" t="s">
        <v>55</v>
      </c>
      <c r="T110" s="1" t="str">
        <f>VLOOKUP(AD110,[1]UpdateRightID!$A$2:$B$4,2,FALSE)</f>
        <v>none</v>
      </c>
      <c r="U110" s="1" t="s">
        <v>48</v>
      </c>
      <c r="Y110" s="1">
        <v>0</v>
      </c>
      <c r="AB110" s="1">
        <v>2</v>
      </c>
      <c r="AD110" s="1">
        <v>0</v>
      </c>
      <c r="AE110" s="1">
        <v>0</v>
      </c>
    </row>
    <row r="111" spans="1:31" ht="75">
      <c r="B111" s="1" t="s">
        <v>324</v>
      </c>
      <c r="C111" t="s">
        <v>325</v>
      </c>
      <c r="E111" s="1" t="e">
        <f>VLOOKUP(Z111,[1]LicenseDuration_ID!$A$2:$B$8,2,FALSE)</f>
        <v>#N/A</v>
      </c>
      <c r="F111" s="1" t="e">
        <f>VLOOKUP(AA111,[1]MaintenanceDuration_ID!$A$2:$B$5,2,FALSE)</f>
        <v>#N/A</v>
      </c>
      <c r="G111" s="1" t="e">
        <f>VLOOKUP(V111,[1]ExpectedDeliveryTime_ID!$A$2:$B$12,2,FALSE)</f>
        <v>#N/A</v>
      </c>
      <c r="H111" s="1" t="e">
        <f>VLOOKUP(AC111,[1]PaymentModel_ID!$A$2:$B$7,2,FALSE)</f>
        <v>#N/A</v>
      </c>
      <c r="I111" s="1" t="e">
        <f>VLOOKUP(W111,[1]ExpectedInvoiceDate_ID!$A$2:$B$12,2,FALSE)</f>
        <v>#N/A</v>
      </c>
      <c r="J111" s="1" t="e">
        <f>VLOOKUP(X111,[1]GrantOfRights_ID!$A$2:$B$7,2,FALSE)</f>
        <v>#N/A</v>
      </c>
      <c r="K111" s="1" t="str">
        <f>VLOOKUP(AE111,[1]Profile!$A$2:$B$8,2,FALSE)</f>
        <v>Product related service without profile</v>
      </c>
      <c r="M111" s="1" t="str">
        <f>VLOOKUP(Y111,[1]License_Method_ID!$A$2:$B$13,2,FALSE)</f>
        <v>no technical license protection</v>
      </c>
      <c r="O111" s="1">
        <v>10</v>
      </c>
      <c r="Q111" s="1" t="str">
        <f>VLOOKUP(AB111,[1]Operational_Profit_Type_ID!$A$2:$B$3,2,FALSE)</f>
        <v>Calculated</v>
      </c>
      <c r="R111" s="1" t="s">
        <v>55</v>
      </c>
      <c r="T111" s="1" t="str">
        <f>VLOOKUP(AD111,[1]UpdateRightID!$A$2:$B$4,2,FALSE)</f>
        <v>none</v>
      </c>
      <c r="U111" s="1" t="s">
        <v>48</v>
      </c>
      <c r="Y111" s="1">
        <v>0</v>
      </c>
      <c r="AB111" s="1">
        <v>2</v>
      </c>
      <c r="AD111" s="1">
        <v>0</v>
      </c>
      <c r="AE111" s="1">
        <v>0</v>
      </c>
    </row>
    <row r="112" spans="1:31" ht="30">
      <c r="B112" s="1" t="s">
        <v>326</v>
      </c>
      <c r="C112" t="s">
        <v>327</v>
      </c>
      <c r="D112" s="1" t="s">
        <v>328</v>
      </c>
      <c r="E112" s="1" t="e">
        <f>VLOOKUP(Z112,[1]LicenseDuration_ID!$A$2:$B$8,2,FALSE)</f>
        <v>#N/A</v>
      </c>
      <c r="F112" s="1" t="e">
        <f>VLOOKUP(AA112,[1]MaintenanceDuration_ID!$A$2:$B$5,2,FALSE)</f>
        <v>#N/A</v>
      </c>
      <c r="G112" s="1" t="e">
        <f>VLOOKUP(V112,[1]ExpectedDeliveryTime_ID!$A$2:$B$12,2,FALSE)</f>
        <v>#N/A</v>
      </c>
      <c r="H112" s="1" t="e">
        <f>VLOOKUP(AC112,[1]PaymentModel_ID!$A$2:$B$7,2,FALSE)</f>
        <v>#N/A</v>
      </c>
      <c r="I112" s="1" t="e">
        <f>VLOOKUP(W112,[1]ExpectedInvoiceDate_ID!$A$2:$B$12,2,FALSE)</f>
        <v>#N/A</v>
      </c>
      <c r="J112" s="1" t="e">
        <f>VLOOKUP(X112,[1]GrantOfRights_ID!$A$2:$B$7,2,FALSE)</f>
        <v>#N/A</v>
      </c>
      <c r="K112" s="1" t="str">
        <f>VLOOKUP(AE112,[1]Profile!$A$2:$B$8,2,FALSE)</f>
        <v>Integration Package</v>
      </c>
      <c r="M112" s="1" t="str">
        <f>VLOOKUP(Y112,[1]License_Method_ID!$A$2:$B$13,2,FALSE)</f>
        <v>no technical license protection</v>
      </c>
      <c r="O112" s="1">
        <v>10</v>
      </c>
      <c r="P112" s="1">
        <v>50</v>
      </c>
      <c r="Q112" s="1" t="str">
        <f>VLOOKUP(AB112,[1]Operational_Profit_Type_ID!$A$2:$B$3,2,FALSE)</f>
        <v>Fix rate</v>
      </c>
      <c r="R112" s="1" t="s">
        <v>55</v>
      </c>
      <c r="T112" s="1" t="str">
        <f>VLOOKUP(AD112,[1]UpdateRightID!$A$2:$B$4,2,FALSE)</f>
        <v>none</v>
      </c>
      <c r="U112" s="1" t="s">
        <v>48</v>
      </c>
      <c r="Y112" s="1">
        <v>0</v>
      </c>
      <c r="AB112" s="1">
        <v>1</v>
      </c>
      <c r="AD112" s="1">
        <v>0</v>
      </c>
      <c r="AE112" s="1">
        <v>2</v>
      </c>
    </row>
    <row r="113" spans="1:31">
      <c r="B113" s="1" t="s">
        <v>329</v>
      </c>
      <c r="C113" t="s">
        <v>330</v>
      </c>
      <c r="E113" s="1" t="e">
        <f>VLOOKUP(Z113,[1]LicenseDuration_ID!$A$2:$B$8,2,FALSE)</f>
        <v>#N/A</v>
      </c>
      <c r="F113" s="1" t="e">
        <f>VLOOKUP(AA113,[1]MaintenanceDuration_ID!$A$2:$B$5,2,FALSE)</f>
        <v>#N/A</v>
      </c>
      <c r="G113" s="1" t="e">
        <f>VLOOKUP(V113,[1]ExpectedDeliveryTime_ID!$A$2:$B$12,2,FALSE)</f>
        <v>#N/A</v>
      </c>
      <c r="H113" s="1" t="e">
        <f>VLOOKUP(AC113,[1]PaymentModel_ID!$A$2:$B$7,2,FALSE)</f>
        <v>#N/A</v>
      </c>
      <c r="I113" s="1" t="e">
        <f>VLOOKUP(W113,[1]ExpectedInvoiceDate_ID!$A$2:$B$12,2,FALSE)</f>
        <v>#N/A</v>
      </c>
      <c r="J113" s="1" t="e">
        <f>VLOOKUP(X113,[1]GrantOfRights_ID!$A$2:$B$7,2,FALSE)</f>
        <v>#N/A</v>
      </c>
      <c r="K113" s="1" t="str">
        <f>VLOOKUP(AE113,[1]Profile!$A$2:$B$8,2,FALSE)</f>
        <v>License</v>
      </c>
      <c r="M113" s="1" t="str">
        <f>VLOOKUP(Y113,[1]License_Method_ID!$A$2:$B$13,2,FALSE)</f>
        <v>no technical license protection</v>
      </c>
      <c r="O113" s="1">
        <v>10</v>
      </c>
      <c r="P113" s="1">
        <v>50</v>
      </c>
      <c r="Q113" s="1" t="str">
        <f>VLOOKUP(AB113,[1]Operational_Profit_Type_ID!$A$2:$B$3,2,FALSE)</f>
        <v>Fix rate</v>
      </c>
      <c r="R113" s="1" t="s">
        <v>55</v>
      </c>
      <c r="T113" s="1" t="str">
        <f>VLOOKUP(AD113,[1]UpdateRightID!$A$2:$B$4,2,FALSE)</f>
        <v>none</v>
      </c>
      <c r="U113" s="1" t="s">
        <v>48</v>
      </c>
      <c r="Y113" s="1">
        <v>0</v>
      </c>
      <c r="AB113" s="1">
        <v>1</v>
      </c>
      <c r="AD113" s="1">
        <v>0</v>
      </c>
      <c r="AE113" s="1">
        <v>1</v>
      </c>
    </row>
    <row r="114" spans="1:31" ht="255">
      <c r="B114" s="1" t="s">
        <v>331</v>
      </c>
      <c r="C114" t="s">
        <v>332</v>
      </c>
      <c r="D114" s="1" t="s">
        <v>333</v>
      </c>
      <c r="E114" s="1" t="e">
        <f>VLOOKUP(Z114,[1]LicenseDuration_ID!$A$2:$B$8,2,FALSE)</f>
        <v>#N/A</v>
      </c>
      <c r="F114" s="1" t="e">
        <f>VLOOKUP(AA114,[1]MaintenanceDuration_ID!$A$2:$B$5,2,FALSE)</f>
        <v>#N/A</v>
      </c>
      <c r="G114" s="1" t="e">
        <f>VLOOKUP(V114,[1]ExpectedDeliveryTime_ID!$A$2:$B$12,2,FALSE)</f>
        <v>#N/A</v>
      </c>
      <c r="H114" s="1" t="e">
        <f>VLOOKUP(AC114,[1]PaymentModel_ID!$A$2:$B$7,2,FALSE)</f>
        <v>#N/A</v>
      </c>
      <c r="I114" s="1" t="e">
        <f>VLOOKUP(W114,[1]ExpectedInvoiceDate_ID!$A$2:$B$12,2,FALSE)</f>
        <v>#N/A</v>
      </c>
      <c r="J114" s="1" t="e">
        <f>VLOOKUP(X114,[1]GrantOfRights_ID!$A$2:$B$7,2,FALSE)</f>
        <v>#N/A</v>
      </c>
      <c r="K114" s="1" t="str">
        <f>VLOOKUP(AE114,[1]Profile!$A$2:$B$8,2,FALSE)</f>
        <v>License</v>
      </c>
      <c r="M114" s="1" t="str">
        <f>VLOOKUP(Y114,[1]License_Method_ID!$A$2:$B$13,2,FALSE)</f>
        <v>no technical license protection</v>
      </c>
      <c r="O114" s="1">
        <v>10</v>
      </c>
      <c r="P114" s="1">
        <v>50</v>
      </c>
      <c r="Q114" s="1" t="str">
        <f>VLOOKUP(AB114,[1]Operational_Profit_Type_ID!$A$2:$B$3,2,FALSE)</f>
        <v>Fix rate</v>
      </c>
      <c r="R114" s="1" t="s">
        <v>55</v>
      </c>
      <c r="T114" s="1" t="str">
        <f>VLOOKUP(AD114,[1]UpdateRightID!$A$2:$B$4,2,FALSE)</f>
        <v>none</v>
      </c>
      <c r="U114" s="1" t="s">
        <v>48</v>
      </c>
      <c r="Y114" s="1">
        <v>0</v>
      </c>
      <c r="AB114" s="1">
        <v>1</v>
      </c>
      <c r="AD114" s="1">
        <v>0</v>
      </c>
      <c r="AE114" s="1">
        <v>1</v>
      </c>
    </row>
    <row r="115" spans="1:31" ht="240">
      <c r="A115" s="1" t="s">
        <v>43</v>
      </c>
      <c r="B115" s="1" t="s">
        <v>334</v>
      </c>
      <c r="C115" t="s">
        <v>335</v>
      </c>
      <c r="D115" s="1" t="s">
        <v>336</v>
      </c>
      <c r="E115" s="1" t="str">
        <f>VLOOKUP(Z115,[1]LicenseDuration_ID!$A$2:$B$8,2,FALSE)</f>
        <v>perpetual</v>
      </c>
      <c r="F115" s="1" t="str">
        <f>VLOOKUP(AA115,[1]MaintenanceDuration_ID!$A$2:$B$5,2,FALSE)</f>
        <v>12 months</v>
      </c>
      <c r="G115" s="1" t="str">
        <f>VLOOKUP(V115,[1]ExpectedDeliveryTime_ID!$A$2:$B$12,2,FALSE)</f>
        <v>FINALIZED PURCHASE PROCESS + 2 weeks</v>
      </c>
      <c r="H115" s="1" t="str">
        <f>VLOOKUP(AC115,[1]PaymentModel_ID!$A$2:$B$7,2,FALSE)</f>
        <v>One-time payment</v>
      </c>
      <c r="I115" s="1" t="str">
        <f>VLOOKUP(W115,[1]ExpectedInvoiceDate_ID!$A$2:$B$12,2,FALSE)</f>
        <v>With FINAL DELIVERY</v>
      </c>
      <c r="J115" s="1" t="str">
        <f>VLOOKUP(X115,[1]GrantOfRights_ID!$A$2:$B$7,2,FALSE)</f>
        <v>Reproduction and Distribution License</v>
      </c>
      <c r="K115" s="1" t="str">
        <f>VLOOKUP(AE115,[1]Profile!$A$2:$B$8,2,FALSE)</f>
        <v>License</v>
      </c>
      <c r="M115" s="1" t="str">
        <f>VLOOKUP(Y115,[1]License_Method_ID!$A$2:$B$13,2,FALSE)</f>
        <v>no technical license protection</v>
      </c>
      <c r="N115" s="1" t="s">
        <v>47</v>
      </c>
      <c r="O115" s="1">
        <v>10</v>
      </c>
      <c r="P115" s="1">
        <v>50</v>
      </c>
      <c r="Q115" s="1" t="str">
        <f>VLOOKUP(AB115,[1]Operational_Profit_Type_ID!$A$2:$B$3,2,FALSE)</f>
        <v>Fix rate</v>
      </c>
      <c r="R115" s="1" t="s">
        <v>48</v>
      </c>
      <c r="T115" s="1" t="str">
        <f>VLOOKUP(AD115,[1]UpdateRightID!$A$2:$B$4,2,FALSE)</f>
        <v>UpdateRightByConfiguration</v>
      </c>
      <c r="U115" s="1" t="s">
        <v>48</v>
      </c>
      <c r="V115" s="1">
        <v>2</v>
      </c>
      <c r="W115" s="1">
        <v>7</v>
      </c>
      <c r="X115" s="1">
        <v>5</v>
      </c>
      <c r="Y115" s="1">
        <v>0</v>
      </c>
      <c r="Z115" s="1">
        <v>6</v>
      </c>
      <c r="AA115" s="1">
        <v>3</v>
      </c>
      <c r="AB115" s="1">
        <v>1</v>
      </c>
      <c r="AC115" s="1">
        <v>2</v>
      </c>
      <c r="AD115" s="1">
        <v>1</v>
      </c>
      <c r="AE115" s="1">
        <v>1</v>
      </c>
    </row>
    <row r="116" spans="1:31" ht="60">
      <c r="B116" s="1" t="s">
        <v>337</v>
      </c>
      <c r="C116" t="s">
        <v>338</v>
      </c>
      <c r="D116" s="1" t="s">
        <v>339</v>
      </c>
      <c r="E116" s="1" t="e">
        <f>VLOOKUP(Z116,[1]LicenseDuration_ID!$A$2:$B$8,2,FALSE)</f>
        <v>#N/A</v>
      </c>
      <c r="F116" s="1" t="e">
        <f>VLOOKUP(AA116,[1]MaintenanceDuration_ID!$A$2:$B$5,2,FALSE)</f>
        <v>#N/A</v>
      </c>
      <c r="G116" s="1" t="e">
        <f>VLOOKUP(V116,[1]ExpectedDeliveryTime_ID!$A$2:$B$12,2,FALSE)</f>
        <v>#N/A</v>
      </c>
      <c r="H116" s="1" t="e">
        <f>VLOOKUP(AC116,[1]PaymentModel_ID!$A$2:$B$7,2,FALSE)</f>
        <v>#N/A</v>
      </c>
      <c r="I116" s="1" t="e">
        <f>VLOOKUP(W116,[1]ExpectedInvoiceDate_ID!$A$2:$B$12,2,FALSE)</f>
        <v>#N/A</v>
      </c>
      <c r="J116" s="1" t="e">
        <f>VLOOKUP(X116,[1]GrantOfRights_ID!$A$2:$B$7,2,FALSE)</f>
        <v>#N/A</v>
      </c>
      <c r="K116" s="1" t="str">
        <f>VLOOKUP(AE116,[1]Profile!$A$2:$B$8,2,FALSE)</f>
        <v>License</v>
      </c>
      <c r="L116" s="1">
        <v>0</v>
      </c>
      <c r="M116" s="1" t="str">
        <f>VLOOKUP(Y116,[1]License_Method_ID!$A$2:$B$13,2,FALSE)</f>
        <v>no technical license protection</v>
      </c>
      <c r="O116" s="1">
        <v>10</v>
      </c>
      <c r="P116" s="1">
        <v>50</v>
      </c>
      <c r="Q116" s="1" t="str">
        <f>VLOOKUP(AB116,[1]Operational_Profit_Type_ID!$A$2:$B$3,2,FALSE)</f>
        <v>Fix rate</v>
      </c>
      <c r="R116" s="1" t="s">
        <v>55</v>
      </c>
      <c r="T116" s="1" t="str">
        <f>VLOOKUP(AD116,[1]UpdateRightID!$A$2:$B$4,2,FALSE)</f>
        <v>none</v>
      </c>
      <c r="U116" s="1" t="s">
        <v>48</v>
      </c>
      <c r="Y116" s="1">
        <v>0</v>
      </c>
      <c r="AB116" s="1">
        <v>1</v>
      </c>
      <c r="AD116" s="1">
        <v>0</v>
      </c>
      <c r="AE116" s="1">
        <v>1</v>
      </c>
    </row>
    <row r="117" spans="1:31">
      <c r="B117" s="1" t="s">
        <v>340</v>
      </c>
      <c r="C117" t="s">
        <v>341</v>
      </c>
      <c r="D117" s="1" t="s">
        <v>342</v>
      </c>
      <c r="E117" s="1" t="e">
        <f>VLOOKUP(Z117,[1]LicenseDuration_ID!$A$2:$B$8,2,FALSE)</f>
        <v>#N/A</v>
      </c>
      <c r="F117" s="1" t="e">
        <f>VLOOKUP(AA117,[1]MaintenanceDuration_ID!$A$2:$B$5,2,FALSE)</f>
        <v>#N/A</v>
      </c>
      <c r="G117" s="1" t="e">
        <f>VLOOKUP(V117,[1]ExpectedDeliveryTime_ID!$A$2:$B$12,2,FALSE)</f>
        <v>#N/A</v>
      </c>
      <c r="H117" s="1" t="e">
        <f>VLOOKUP(AC117,[1]PaymentModel_ID!$A$2:$B$7,2,FALSE)</f>
        <v>#N/A</v>
      </c>
      <c r="I117" s="1" t="e">
        <f>VLOOKUP(W117,[1]ExpectedInvoiceDate_ID!$A$2:$B$12,2,FALSE)</f>
        <v>#N/A</v>
      </c>
      <c r="J117" s="1" t="e">
        <f>VLOOKUP(X117,[1]GrantOfRights_ID!$A$2:$B$7,2,FALSE)</f>
        <v>#N/A</v>
      </c>
      <c r="K117" s="1" t="str">
        <f>VLOOKUP(AE117,[1]Profile!$A$2:$B$8,2,FALSE)</f>
        <v>License</v>
      </c>
      <c r="M117" s="1" t="str">
        <f>VLOOKUP(Y117,[1]License_Method_ID!$A$2:$B$13,2,FALSE)</f>
        <v>no technical license protection</v>
      </c>
      <c r="O117" s="1">
        <v>10</v>
      </c>
      <c r="P117" s="1">
        <v>50</v>
      </c>
      <c r="Q117" s="1" t="str">
        <f>VLOOKUP(AB117,[1]Operational_Profit_Type_ID!$A$2:$B$3,2,FALSE)</f>
        <v>Fix rate</v>
      </c>
      <c r="R117" s="1" t="s">
        <v>55</v>
      </c>
      <c r="T117" s="1" t="str">
        <f>VLOOKUP(AD117,[1]UpdateRightID!$A$2:$B$4,2,FALSE)</f>
        <v>none</v>
      </c>
      <c r="U117" s="1" t="s">
        <v>48</v>
      </c>
      <c r="Y117" s="1">
        <v>0</v>
      </c>
      <c r="AB117" s="1">
        <v>1</v>
      </c>
      <c r="AD117" s="1">
        <v>0</v>
      </c>
      <c r="AE117" s="1">
        <v>1</v>
      </c>
    </row>
    <row r="118" spans="1:31">
      <c r="B118" s="1" t="s">
        <v>343</v>
      </c>
      <c r="C118" t="s">
        <v>344</v>
      </c>
      <c r="D118" s="1" t="s">
        <v>345</v>
      </c>
      <c r="E118" s="1" t="e">
        <f>VLOOKUP(Z118,[1]LicenseDuration_ID!$A$2:$B$8,2,FALSE)</f>
        <v>#N/A</v>
      </c>
      <c r="F118" s="1" t="e">
        <f>VLOOKUP(AA118,[1]MaintenanceDuration_ID!$A$2:$B$5,2,FALSE)</f>
        <v>#N/A</v>
      </c>
      <c r="G118" s="1" t="e">
        <f>VLOOKUP(V118,[1]ExpectedDeliveryTime_ID!$A$2:$B$12,2,FALSE)</f>
        <v>#N/A</v>
      </c>
      <c r="H118" s="1" t="e">
        <f>VLOOKUP(AC118,[1]PaymentModel_ID!$A$2:$B$7,2,FALSE)</f>
        <v>#N/A</v>
      </c>
      <c r="I118" s="1" t="e">
        <f>VLOOKUP(W118,[1]ExpectedInvoiceDate_ID!$A$2:$B$12,2,FALSE)</f>
        <v>#N/A</v>
      </c>
      <c r="J118" s="1" t="e">
        <f>VLOOKUP(X118,[1]GrantOfRights_ID!$A$2:$B$7,2,FALSE)</f>
        <v>#N/A</v>
      </c>
      <c r="K118" s="1" t="str">
        <f>VLOOKUP(AE118,[1]Profile!$A$2:$B$8,2,FALSE)</f>
        <v>License</v>
      </c>
      <c r="M118" s="1" t="str">
        <f>VLOOKUP(Y118,[1]License_Method_ID!$A$2:$B$13,2,FALSE)</f>
        <v>no technical license protection</v>
      </c>
      <c r="O118" s="1">
        <v>10</v>
      </c>
      <c r="P118" s="1">
        <v>50</v>
      </c>
      <c r="Q118" s="1" t="str">
        <f>VLOOKUP(AB118,[1]Operational_Profit_Type_ID!$A$2:$B$3,2,FALSE)</f>
        <v>Fix rate</v>
      </c>
      <c r="R118" s="1" t="s">
        <v>55</v>
      </c>
      <c r="T118" s="1" t="str">
        <f>VLOOKUP(AD118,[1]UpdateRightID!$A$2:$B$4,2,FALSE)</f>
        <v>none</v>
      </c>
      <c r="U118" s="1" t="s">
        <v>48</v>
      </c>
      <c r="Y118" s="1">
        <v>0</v>
      </c>
      <c r="AB118" s="1">
        <v>1</v>
      </c>
      <c r="AD118" s="1">
        <v>0</v>
      </c>
      <c r="AE118" s="1">
        <v>1</v>
      </c>
    </row>
    <row r="119" spans="1:31" ht="75">
      <c r="B119" s="1" t="s">
        <v>346</v>
      </c>
      <c r="C119" t="s">
        <v>347</v>
      </c>
      <c r="E119" s="1" t="e">
        <f>VLOOKUP(Z119,[1]LicenseDuration_ID!$A$2:$B$8,2,FALSE)</f>
        <v>#N/A</v>
      </c>
      <c r="F119" s="1" t="e">
        <f>VLOOKUP(AA119,[1]MaintenanceDuration_ID!$A$2:$B$5,2,FALSE)</f>
        <v>#N/A</v>
      </c>
      <c r="G119" s="1" t="e">
        <f>VLOOKUP(V119,[1]ExpectedDeliveryTime_ID!$A$2:$B$12,2,FALSE)</f>
        <v>#N/A</v>
      </c>
      <c r="H119" s="1" t="e">
        <f>VLOOKUP(AC119,[1]PaymentModel_ID!$A$2:$B$7,2,FALSE)</f>
        <v>#N/A</v>
      </c>
      <c r="I119" s="1" t="e">
        <f>VLOOKUP(W119,[1]ExpectedInvoiceDate_ID!$A$2:$B$12,2,FALSE)</f>
        <v>#N/A</v>
      </c>
      <c r="J119" s="1" t="e">
        <f>VLOOKUP(X119,[1]GrantOfRights_ID!$A$2:$B$7,2,FALSE)</f>
        <v>#N/A</v>
      </c>
      <c r="K119" s="1" t="str">
        <f>VLOOKUP(AE119,[1]Profile!$A$2:$B$8,2,FALSE)</f>
        <v>Product related service without profile</v>
      </c>
      <c r="M119" s="1" t="str">
        <f>VLOOKUP(Y119,[1]License_Method_ID!$A$2:$B$13,2,FALSE)</f>
        <v>no technical license protection</v>
      </c>
      <c r="O119" s="1">
        <v>10</v>
      </c>
      <c r="Q119" s="1" t="str">
        <f>VLOOKUP(AB119,[1]Operational_Profit_Type_ID!$A$2:$B$3,2,FALSE)</f>
        <v>Calculated</v>
      </c>
      <c r="R119" s="1" t="s">
        <v>55</v>
      </c>
      <c r="T119" s="1" t="str">
        <f>VLOOKUP(AD119,[1]UpdateRightID!$A$2:$B$4,2,FALSE)</f>
        <v>none</v>
      </c>
      <c r="U119" s="1" t="s">
        <v>48</v>
      </c>
      <c r="Y119" s="1">
        <v>0</v>
      </c>
      <c r="AB119" s="1">
        <v>2</v>
      </c>
      <c r="AD119" s="1">
        <v>0</v>
      </c>
      <c r="AE119" s="1">
        <v>0</v>
      </c>
    </row>
    <row r="120" spans="1:31">
      <c r="B120" s="1" t="s">
        <v>348</v>
      </c>
      <c r="C120" t="s">
        <v>349</v>
      </c>
      <c r="E120" s="1" t="e">
        <f>VLOOKUP(Z120,[1]LicenseDuration_ID!$A$2:$B$8,2,FALSE)</f>
        <v>#N/A</v>
      </c>
      <c r="F120" s="1" t="e">
        <f>VLOOKUP(AA120,[1]MaintenanceDuration_ID!$A$2:$B$5,2,FALSE)</f>
        <v>#N/A</v>
      </c>
      <c r="G120" s="1" t="e">
        <f>VLOOKUP(V120,[1]ExpectedDeliveryTime_ID!$A$2:$B$12,2,FALSE)</f>
        <v>#N/A</v>
      </c>
      <c r="H120" s="1" t="e">
        <f>VLOOKUP(AC120,[1]PaymentModel_ID!$A$2:$B$7,2,FALSE)</f>
        <v>#N/A</v>
      </c>
      <c r="I120" s="1" t="e">
        <f>VLOOKUP(W120,[1]ExpectedInvoiceDate_ID!$A$2:$B$12,2,FALSE)</f>
        <v>#N/A</v>
      </c>
      <c r="J120" s="1" t="e">
        <f>VLOOKUP(X120,[1]GrantOfRights_ID!$A$2:$B$7,2,FALSE)</f>
        <v>#N/A</v>
      </c>
      <c r="K120" s="1" t="str">
        <f>VLOOKUP(AE120,[1]Profile!$A$2:$B$8,2,FALSE)</f>
        <v>License</v>
      </c>
      <c r="M120" s="1" t="str">
        <f>VLOOKUP(Y120,[1]License_Method_ID!$A$2:$B$13,2,FALSE)</f>
        <v>no technical license protection</v>
      </c>
      <c r="O120" s="1">
        <v>10</v>
      </c>
      <c r="P120" s="1">
        <v>50</v>
      </c>
      <c r="Q120" s="1" t="str">
        <f>VLOOKUP(AB120,[1]Operational_Profit_Type_ID!$A$2:$B$3,2,FALSE)</f>
        <v>Fix rate</v>
      </c>
      <c r="R120" s="1" t="s">
        <v>55</v>
      </c>
      <c r="T120" s="1" t="str">
        <f>VLOOKUP(AD120,[1]UpdateRightID!$A$2:$B$4,2,FALSE)</f>
        <v>none</v>
      </c>
      <c r="U120" s="1" t="s">
        <v>48</v>
      </c>
      <c r="Y120" s="1">
        <v>0</v>
      </c>
      <c r="AB120" s="1">
        <v>1</v>
      </c>
      <c r="AD120" s="1">
        <v>0</v>
      </c>
      <c r="AE120" s="1">
        <v>1</v>
      </c>
    </row>
    <row r="121" spans="1:31" ht="75">
      <c r="B121" s="1" t="s">
        <v>350</v>
      </c>
      <c r="C121" t="s">
        <v>351</v>
      </c>
      <c r="D121" s="1" t="s">
        <v>352</v>
      </c>
      <c r="E121" s="1" t="e">
        <f>VLOOKUP(Z121,[1]LicenseDuration_ID!$A$2:$B$8,2,FALSE)</f>
        <v>#N/A</v>
      </c>
      <c r="F121" s="1" t="e">
        <f>VLOOKUP(AA121,[1]MaintenanceDuration_ID!$A$2:$B$5,2,FALSE)</f>
        <v>#N/A</v>
      </c>
      <c r="G121" s="1" t="e">
        <f>VLOOKUP(V121,[1]ExpectedDeliveryTime_ID!$A$2:$B$12,2,FALSE)</f>
        <v>#N/A</v>
      </c>
      <c r="H121" s="1" t="e">
        <f>VLOOKUP(AC121,[1]PaymentModel_ID!$A$2:$B$7,2,FALSE)</f>
        <v>#N/A</v>
      </c>
      <c r="I121" s="1" t="e">
        <f>VLOOKUP(W121,[1]ExpectedInvoiceDate_ID!$A$2:$B$12,2,FALSE)</f>
        <v>#N/A</v>
      </c>
      <c r="J121" s="1" t="e">
        <f>VLOOKUP(X121,[1]GrantOfRights_ID!$A$2:$B$7,2,FALSE)</f>
        <v>#N/A</v>
      </c>
      <c r="K121" s="1" t="str">
        <f>VLOOKUP(AE121,[1]Profile!$A$2:$B$8,2,FALSE)</f>
        <v>License</v>
      </c>
      <c r="M121" s="1" t="str">
        <f>VLOOKUP(Y121,[1]License_Method_ID!$A$2:$B$13,2,FALSE)</f>
        <v>no technical license protection</v>
      </c>
      <c r="O121" s="1">
        <v>10</v>
      </c>
      <c r="P121" s="1">
        <v>50</v>
      </c>
      <c r="Q121" s="1" t="str">
        <f>VLOOKUP(AB121,[1]Operational_Profit_Type_ID!$A$2:$B$3,2,FALSE)</f>
        <v>Fix rate</v>
      </c>
      <c r="R121" s="1" t="s">
        <v>55</v>
      </c>
      <c r="T121" s="1" t="str">
        <f>VLOOKUP(AD121,[1]UpdateRightID!$A$2:$B$4,2,FALSE)</f>
        <v>none</v>
      </c>
      <c r="U121" s="1" t="s">
        <v>48</v>
      </c>
      <c r="Y121" s="1">
        <v>0</v>
      </c>
      <c r="AB121" s="1">
        <v>1</v>
      </c>
      <c r="AD121" s="1">
        <v>0</v>
      </c>
      <c r="AE121" s="1">
        <v>1</v>
      </c>
    </row>
    <row r="122" spans="1:31" ht="120">
      <c r="B122" s="1" t="s">
        <v>353</v>
      </c>
      <c r="C122" t="s">
        <v>354</v>
      </c>
      <c r="D122" s="1" t="s">
        <v>355</v>
      </c>
      <c r="E122" s="1" t="e">
        <f>VLOOKUP(Z122,[1]LicenseDuration_ID!$A$2:$B$8,2,FALSE)</f>
        <v>#N/A</v>
      </c>
      <c r="F122" s="1" t="e">
        <f>VLOOKUP(AA122,[1]MaintenanceDuration_ID!$A$2:$B$5,2,FALSE)</f>
        <v>#N/A</v>
      </c>
      <c r="G122" s="1" t="e">
        <f>VLOOKUP(V122,[1]ExpectedDeliveryTime_ID!$A$2:$B$12,2,FALSE)</f>
        <v>#N/A</v>
      </c>
      <c r="H122" s="1" t="e">
        <f>VLOOKUP(AC122,[1]PaymentModel_ID!$A$2:$B$7,2,FALSE)</f>
        <v>#N/A</v>
      </c>
      <c r="I122" s="1" t="e">
        <f>VLOOKUP(W122,[1]ExpectedInvoiceDate_ID!$A$2:$B$12,2,FALSE)</f>
        <v>#N/A</v>
      </c>
      <c r="J122" s="1" t="e">
        <f>VLOOKUP(X122,[1]GrantOfRights_ID!$A$2:$B$7,2,FALSE)</f>
        <v>#N/A</v>
      </c>
      <c r="K122" s="1" t="str">
        <f>VLOOKUP(AE122,[1]Profile!$A$2:$B$8,2,FALSE)</f>
        <v>License</v>
      </c>
      <c r="M122" s="1" t="str">
        <f>VLOOKUP(Y122,[1]License_Method_ID!$A$2:$B$13,2,FALSE)</f>
        <v>no technical license protection</v>
      </c>
      <c r="O122" s="1">
        <v>10</v>
      </c>
      <c r="P122" s="1">
        <v>50</v>
      </c>
      <c r="Q122" s="1" t="str">
        <f>VLOOKUP(AB122,[1]Operational_Profit_Type_ID!$A$2:$B$3,2,FALSE)</f>
        <v>Fix rate</v>
      </c>
      <c r="R122" s="1" t="s">
        <v>55</v>
      </c>
      <c r="T122" s="1" t="str">
        <f>VLOOKUP(AD122,[1]UpdateRightID!$A$2:$B$4,2,FALSE)</f>
        <v>none</v>
      </c>
      <c r="U122" s="1" t="s">
        <v>48</v>
      </c>
      <c r="Y122" s="1">
        <v>0</v>
      </c>
      <c r="AB122" s="1">
        <v>1</v>
      </c>
      <c r="AD122" s="1">
        <v>0</v>
      </c>
      <c r="AE122" s="1">
        <v>1</v>
      </c>
    </row>
    <row r="123" spans="1:31" ht="45">
      <c r="B123" s="1" t="s">
        <v>356</v>
      </c>
      <c r="C123" t="s">
        <v>357</v>
      </c>
      <c r="D123" s="1" t="s">
        <v>358</v>
      </c>
      <c r="E123" s="1" t="e">
        <f>VLOOKUP(Z123,[1]LicenseDuration_ID!$A$2:$B$8,2,FALSE)</f>
        <v>#N/A</v>
      </c>
      <c r="F123" s="1" t="e">
        <f>VLOOKUP(AA123,[1]MaintenanceDuration_ID!$A$2:$B$5,2,FALSE)</f>
        <v>#N/A</v>
      </c>
      <c r="G123" s="1" t="e">
        <f>VLOOKUP(V123,[1]ExpectedDeliveryTime_ID!$A$2:$B$12,2,FALSE)</f>
        <v>#N/A</v>
      </c>
      <c r="H123" s="1" t="e">
        <f>VLOOKUP(AC123,[1]PaymentModel_ID!$A$2:$B$7,2,FALSE)</f>
        <v>#N/A</v>
      </c>
      <c r="I123" s="1" t="e">
        <f>VLOOKUP(W123,[1]ExpectedInvoiceDate_ID!$A$2:$B$12,2,FALSE)</f>
        <v>#N/A</v>
      </c>
      <c r="J123" s="1" t="e">
        <f>VLOOKUP(X123,[1]GrantOfRights_ID!$A$2:$B$7,2,FALSE)</f>
        <v>#N/A</v>
      </c>
      <c r="K123" s="1" t="str">
        <f>VLOOKUP(AE123,[1]Profile!$A$2:$B$8,2,FALSE)</f>
        <v>License</v>
      </c>
      <c r="M123" s="1" t="str">
        <f>VLOOKUP(Y123,[1]License_Method_ID!$A$2:$B$13,2,FALSE)</f>
        <v>no technical license protection</v>
      </c>
      <c r="O123" s="1">
        <v>10</v>
      </c>
      <c r="P123" s="1">
        <v>50</v>
      </c>
      <c r="Q123" s="1" t="str">
        <f>VLOOKUP(AB123,[1]Operational_Profit_Type_ID!$A$2:$B$3,2,FALSE)</f>
        <v>Fix rate</v>
      </c>
      <c r="R123" s="1" t="s">
        <v>55</v>
      </c>
      <c r="T123" s="1" t="str">
        <f>VLOOKUP(AD123,[1]UpdateRightID!$A$2:$B$4,2,FALSE)</f>
        <v>none</v>
      </c>
      <c r="U123" s="1" t="s">
        <v>48</v>
      </c>
      <c r="Y123" s="1">
        <v>0</v>
      </c>
      <c r="AB123" s="1">
        <v>1</v>
      </c>
      <c r="AD123" s="1">
        <v>0</v>
      </c>
      <c r="AE123" s="1">
        <v>1</v>
      </c>
    </row>
    <row r="124" spans="1:31" ht="90">
      <c r="B124" s="1" t="s">
        <v>359</v>
      </c>
      <c r="C124" t="s">
        <v>360</v>
      </c>
      <c r="D124" s="1" t="s">
        <v>361</v>
      </c>
      <c r="E124" s="1" t="e">
        <f>VLOOKUP(Z124,[1]LicenseDuration_ID!$A$2:$B$8,2,FALSE)</f>
        <v>#N/A</v>
      </c>
      <c r="F124" s="1" t="e">
        <f>VLOOKUP(AA124,[1]MaintenanceDuration_ID!$A$2:$B$5,2,FALSE)</f>
        <v>#N/A</v>
      </c>
      <c r="G124" s="1" t="e">
        <f>VLOOKUP(V124,[1]ExpectedDeliveryTime_ID!$A$2:$B$12,2,FALSE)</f>
        <v>#N/A</v>
      </c>
      <c r="H124" s="1" t="e">
        <f>VLOOKUP(AC124,[1]PaymentModel_ID!$A$2:$B$7,2,FALSE)</f>
        <v>#N/A</v>
      </c>
      <c r="I124" s="1" t="e">
        <f>VLOOKUP(W124,[1]ExpectedInvoiceDate_ID!$A$2:$B$12,2,FALSE)</f>
        <v>#N/A</v>
      </c>
      <c r="J124" s="1" t="e">
        <f>VLOOKUP(X124,[1]GrantOfRights_ID!$A$2:$B$7,2,FALSE)</f>
        <v>#N/A</v>
      </c>
      <c r="K124" s="1" t="str">
        <f>VLOOKUP(AE124,[1]Profile!$A$2:$B$8,2,FALSE)</f>
        <v>License</v>
      </c>
      <c r="M124" s="1" t="str">
        <f>VLOOKUP(Y124,[1]License_Method_ID!$A$2:$B$13,2,FALSE)</f>
        <v>no technical license protection</v>
      </c>
      <c r="O124" s="1">
        <v>10</v>
      </c>
      <c r="P124" s="1">
        <v>50</v>
      </c>
      <c r="Q124" s="1" t="str">
        <f>VLOOKUP(AB124,[1]Operational_Profit_Type_ID!$A$2:$B$3,2,FALSE)</f>
        <v>Fix rate</v>
      </c>
      <c r="R124" s="1" t="s">
        <v>55</v>
      </c>
      <c r="T124" s="1" t="str">
        <f>VLOOKUP(AD124,[1]UpdateRightID!$A$2:$B$4,2,FALSE)</f>
        <v>none</v>
      </c>
      <c r="U124" s="1" t="s">
        <v>48</v>
      </c>
      <c r="Y124" s="1">
        <v>0</v>
      </c>
      <c r="AB124" s="1">
        <v>1</v>
      </c>
      <c r="AD124" s="1">
        <v>0</v>
      </c>
      <c r="AE124" s="1">
        <v>1</v>
      </c>
    </row>
    <row r="125" spans="1:31" ht="300">
      <c r="B125" s="1" t="s">
        <v>362</v>
      </c>
      <c r="C125" t="s">
        <v>363</v>
      </c>
      <c r="D125" s="1" t="s">
        <v>364</v>
      </c>
      <c r="E125" s="1" t="e">
        <f>VLOOKUP(Z125,[1]LicenseDuration_ID!$A$2:$B$8,2,FALSE)</f>
        <v>#N/A</v>
      </c>
      <c r="F125" s="1" t="e">
        <f>VLOOKUP(AA125,[1]MaintenanceDuration_ID!$A$2:$B$5,2,FALSE)</f>
        <v>#N/A</v>
      </c>
      <c r="G125" s="1" t="e">
        <f>VLOOKUP(V125,[1]ExpectedDeliveryTime_ID!$A$2:$B$12,2,FALSE)</f>
        <v>#N/A</v>
      </c>
      <c r="H125" s="1" t="e">
        <f>VLOOKUP(AC125,[1]PaymentModel_ID!$A$2:$B$7,2,FALSE)</f>
        <v>#N/A</v>
      </c>
      <c r="I125" s="1" t="e">
        <f>VLOOKUP(W125,[1]ExpectedInvoiceDate_ID!$A$2:$B$12,2,FALSE)</f>
        <v>#N/A</v>
      </c>
      <c r="J125" s="1" t="e">
        <f>VLOOKUP(X125,[1]GrantOfRights_ID!$A$2:$B$7,2,FALSE)</f>
        <v>#N/A</v>
      </c>
      <c r="K125" s="1" t="str">
        <f>VLOOKUP(AE125,[1]Profile!$A$2:$B$8,2,FALSE)</f>
        <v>Product related service without profile</v>
      </c>
      <c r="M125" s="1" t="str">
        <f>VLOOKUP(Y125,[1]License_Method_ID!$A$2:$B$13,2,FALSE)</f>
        <v>no technical license protection</v>
      </c>
      <c r="O125" s="1">
        <v>10</v>
      </c>
      <c r="Q125" s="1" t="str">
        <f>VLOOKUP(AB125,[1]Operational_Profit_Type_ID!$A$2:$B$3,2,FALSE)</f>
        <v>Calculated</v>
      </c>
      <c r="R125" s="1" t="s">
        <v>55</v>
      </c>
      <c r="T125" s="1" t="str">
        <f>VLOOKUP(AD125,[1]UpdateRightID!$A$2:$B$4,2,FALSE)</f>
        <v>none</v>
      </c>
      <c r="U125" s="1" t="s">
        <v>48</v>
      </c>
      <c r="Y125" s="1">
        <v>0</v>
      </c>
      <c r="AB125" s="1">
        <v>2</v>
      </c>
      <c r="AD125" s="1">
        <v>0</v>
      </c>
      <c r="AE125" s="1">
        <v>0</v>
      </c>
    </row>
    <row r="126" spans="1:31" ht="45">
      <c r="B126" s="1" t="s">
        <v>365</v>
      </c>
      <c r="C126" t="s">
        <v>366</v>
      </c>
      <c r="D126" s="1" t="s">
        <v>367</v>
      </c>
      <c r="E126" s="1" t="e">
        <f>VLOOKUP(Z126,[1]LicenseDuration_ID!$A$2:$B$8,2,FALSE)</f>
        <v>#N/A</v>
      </c>
      <c r="F126" s="1" t="e">
        <f>VLOOKUP(AA126,[1]MaintenanceDuration_ID!$A$2:$B$5,2,FALSE)</f>
        <v>#N/A</v>
      </c>
      <c r="G126" s="1" t="e">
        <f>VLOOKUP(V126,[1]ExpectedDeliveryTime_ID!$A$2:$B$12,2,FALSE)</f>
        <v>#N/A</v>
      </c>
      <c r="H126" s="1" t="e">
        <f>VLOOKUP(AC126,[1]PaymentModel_ID!$A$2:$B$7,2,FALSE)</f>
        <v>#N/A</v>
      </c>
      <c r="I126" s="1" t="e">
        <f>VLOOKUP(W126,[1]ExpectedInvoiceDate_ID!$A$2:$B$12,2,FALSE)</f>
        <v>#N/A</v>
      </c>
      <c r="J126" s="1" t="e">
        <f>VLOOKUP(X126,[1]GrantOfRights_ID!$A$2:$B$7,2,FALSE)</f>
        <v>#N/A</v>
      </c>
      <c r="K126" s="1" t="str">
        <f>VLOOKUP(AE126,[1]Profile!$A$2:$B$8,2,FALSE)</f>
        <v>License</v>
      </c>
      <c r="M126" s="1" t="str">
        <f>VLOOKUP(Y126,[1]License_Method_ID!$A$2:$B$13,2,FALSE)</f>
        <v>no technical license protection</v>
      </c>
      <c r="O126" s="1">
        <v>10</v>
      </c>
      <c r="P126" s="1">
        <v>50</v>
      </c>
      <c r="Q126" s="1" t="str">
        <f>VLOOKUP(AB126,[1]Operational_Profit_Type_ID!$A$2:$B$3,2,FALSE)</f>
        <v>Fix rate</v>
      </c>
      <c r="R126" s="1" t="s">
        <v>55</v>
      </c>
      <c r="T126" s="1" t="str">
        <f>VLOOKUP(AD126,[1]UpdateRightID!$A$2:$B$4,2,FALSE)</f>
        <v>none</v>
      </c>
      <c r="U126" s="1" t="s">
        <v>48</v>
      </c>
      <c r="Y126" s="1">
        <v>0</v>
      </c>
      <c r="AB126" s="1">
        <v>1</v>
      </c>
      <c r="AD126" s="1">
        <v>0</v>
      </c>
      <c r="AE126" s="1">
        <v>1</v>
      </c>
    </row>
    <row r="127" spans="1:31">
      <c r="B127" s="1" t="s">
        <v>368</v>
      </c>
      <c r="C127" t="s">
        <v>369</v>
      </c>
      <c r="E127" s="1" t="e">
        <f>VLOOKUP(Z127,[1]LicenseDuration_ID!$A$2:$B$8,2,FALSE)</f>
        <v>#N/A</v>
      </c>
      <c r="F127" s="1" t="e">
        <f>VLOOKUP(AA127,[1]MaintenanceDuration_ID!$A$2:$B$5,2,FALSE)</f>
        <v>#N/A</v>
      </c>
      <c r="G127" s="1" t="e">
        <f>VLOOKUP(V127,[1]ExpectedDeliveryTime_ID!$A$2:$B$12,2,FALSE)</f>
        <v>#N/A</v>
      </c>
      <c r="H127" s="1" t="e">
        <f>VLOOKUP(AC127,[1]PaymentModel_ID!$A$2:$B$7,2,FALSE)</f>
        <v>#N/A</v>
      </c>
      <c r="I127" s="1" t="e">
        <f>VLOOKUP(W127,[1]ExpectedInvoiceDate_ID!$A$2:$B$12,2,FALSE)</f>
        <v>#N/A</v>
      </c>
      <c r="J127" s="1" t="e">
        <f>VLOOKUP(X127,[1]GrantOfRights_ID!$A$2:$B$7,2,FALSE)</f>
        <v>#N/A</v>
      </c>
      <c r="K127" s="1" t="str">
        <f>VLOOKUP(AE127,[1]Profile!$A$2:$B$8,2,FALSE)</f>
        <v>Training</v>
      </c>
      <c r="M127" s="1" t="str">
        <f>VLOOKUP(Y127,[1]License_Method_ID!$A$2:$B$13,2,FALSE)</f>
        <v>no technical license protection</v>
      </c>
      <c r="N127" s="1" t="s">
        <v>47</v>
      </c>
      <c r="O127" s="1">
        <v>10</v>
      </c>
      <c r="Q127" s="1" t="str">
        <f>VLOOKUP(AB127,[1]Operational_Profit_Type_ID!$A$2:$B$3,2,FALSE)</f>
        <v>Calculated</v>
      </c>
      <c r="R127" s="1" t="s">
        <v>55</v>
      </c>
      <c r="T127" s="1" t="str">
        <f>VLOOKUP(AD127,[1]UpdateRightID!$A$2:$B$4,2,FALSE)</f>
        <v>none</v>
      </c>
      <c r="U127" s="1" t="s">
        <v>48</v>
      </c>
      <c r="Y127" s="1">
        <v>0</v>
      </c>
      <c r="AB127" s="1">
        <v>2</v>
      </c>
      <c r="AD127" s="1">
        <v>0</v>
      </c>
      <c r="AE127" s="1">
        <v>5</v>
      </c>
    </row>
    <row r="128" spans="1:31" ht="30">
      <c r="B128" s="1" t="s">
        <v>370</v>
      </c>
      <c r="C128" t="s">
        <v>371</v>
      </c>
      <c r="D128" s="1" t="s">
        <v>372</v>
      </c>
      <c r="E128" s="1" t="e">
        <f>VLOOKUP(Z128,[1]LicenseDuration_ID!$A$2:$B$8,2,FALSE)</f>
        <v>#N/A</v>
      </c>
      <c r="F128" s="1" t="e">
        <f>VLOOKUP(AA128,[1]MaintenanceDuration_ID!$A$2:$B$5,2,FALSE)</f>
        <v>#N/A</v>
      </c>
      <c r="G128" s="1" t="e">
        <f>VLOOKUP(V128,[1]ExpectedDeliveryTime_ID!$A$2:$B$12,2,FALSE)</f>
        <v>#N/A</v>
      </c>
      <c r="H128" s="1" t="e">
        <f>VLOOKUP(AC128,[1]PaymentModel_ID!$A$2:$B$7,2,FALSE)</f>
        <v>#N/A</v>
      </c>
      <c r="I128" s="1" t="e">
        <f>VLOOKUP(W128,[1]ExpectedInvoiceDate_ID!$A$2:$B$12,2,FALSE)</f>
        <v>#N/A</v>
      </c>
      <c r="J128" s="1" t="e">
        <f>VLOOKUP(X128,[1]GrantOfRights_ID!$A$2:$B$7,2,FALSE)</f>
        <v>#N/A</v>
      </c>
      <c r="K128" s="1" t="str">
        <f>VLOOKUP(AE128,[1]Profile!$A$2:$B$8,2,FALSE)</f>
        <v>License</v>
      </c>
      <c r="M128" s="1" t="str">
        <f>VLOOKUP(Y128,[1]License_Method_ID!$A$2:$B$13,2,FALSE)</f>
        <v>no technical license protection</v>
      </c>
      <c r="O128" s="1">
        <v>10</v>
      </c>
      <c r="P128" s="1">
        <v>50</v>
      </c>
      <c r="Q128" s="1" t="str">
        <f>VLOOKUP(AB128,[1]Operational_Profit_Type_ID!$A$2:$B$3,2,FALSE)</f>
        <v>Fix rate</v>
      </c>
      <c r="R128" s="1" t="s">
        <v>55</v>
      </c>
      <c r="T128" s="1" t="str">
        <f>VLOOKUP(AD128,[1]UpdateRightID!$A$2:$B$4,2,FALSE)</f>
        <v>none</v>
      </c>
      <c r="U128" s="1" t="s">
        <v>48</v>
      </c>
      <c r="Y128" s="1">
        <v>0</v>
      </c>
      <c r="AB128" s="1">
        <v>1</v>
      </c>
      <c r="AD128" s="1">
        <v>0</v>
      </c>
      <c r="AE128" s="1">
        <v>1</v>
      </c>
    </row>
    <row r="129" spans="1:31" ht="45">
      <c r="B129" s="1" t="s">
        <v>373</v>
      </c>
      <c r="C129" t="s">
        <v>374</v>
      </c>
      <c r="D129" s="1" t="s">
        <v>375</v>
      </c>
      <c r="E129" s="1" t="e">
        <f>VLOOKUP(Z129,[1]LicenseDuration_ID!$A$2:$B$8,2,FALSE)</f>
        <v>#N/A</v>
      </c>
      <c r="F129" s="1" t="e">
        <f>VLOOKUP(AA129,[1]MaintenanceDuration_ID!$A$2:$B$5,2,FALSE)</f>
        <v>#N/A</v>
      </c>
      <c r="G129" s="1" t="e">
        <f>VLOOKUP(V129,[1]ExpectedDeliveryTime_ID!$A$2:$B$12,2,FALSE)</f>
        <v>#N/A</v>
      </c>
      <c r="H129" s="1" t="e">
        <f>VLOOKUP(AC129,[1]PaymentModel_ID!$A$2:$B$7,2,FALSE)</f>
        <v>#N/A</v>
      </c>
      <c r="I129" s="1" t="e">
        <f>VLOOKUP(W129,[1]ExpectedInvoiceDate_ID!$A$2:$B$12,2,FALSE)</f>
        <v>#N/A</v>
      </c>
      <c r="J129" s="1" t="e">
        <f>VLOOKUP(X129,[1]GrantOfRights_ID!$A$2:$B$7,2,FALSE)</f>
        <v>#N/A</v>
      </c>
      <c r="K129" s="1" t="str">
        <f>VLOOKUP(AE129,[1]Profile!$A$2:$B$8,2,FALSE)</f>
        <v>License</v>
      </c>
      <c r="M129" s="1" t="str">
        <f>VLOOKUP(Y129,[1]License_Method_ID!$A$2:$B$13,2,FALSE)</f>
        <v>no technical license protection</v>
      </c>
      <c r="O129" s="1">
        <v>10</v>
      </c>
      <c r="P129" s="1">
        <v>50</v>
      </c>
      <c r="Q129" s="1" t="str">
        <f>VLOOKUP(AB129,[1]Operational_Profit_Type_ID!$A$2:$B$3,2,FALSE)</f>
        <v>Fix rate</v>
      </c>
      <c r="R129" s="1" t="s">
        <v>55</v>
      </c>
      <c r="T129" s="1" t="str">
        <f>VLOOKUP(AD129,[1]UpdateRightID!$A$2:$B$4,2,FALSE)</f>
        <v>none</v>
      </c>
      <c r="U129" s="1" t="s">
        <v>48</v>
      </c>
      <c r="Y129" s="1">
        <v>0</v>
      </c>
      <c r="AB129" s="1">
        <v>1</v>
      </c>
      <c r="AD129" s="1">
        <v>0</v>
      </c>
      <c r="AE129" s="1">
        <v>1</v>
      </c>
    </row>
    <row r="130" spans="1:31" ht="45">
      <c r="B130" s="1" t="s">
        <v>376</v>
      </c>
      <c r="C130" t="s">
        <v>377</v>
      </c>
      <c r="D130" s="1" t="s">
        <v>378</v>
      </c>
      <c r="E130" s="1" t="e">
        <f>VLOOKUP(Z130,[1]LicenseDuration_ID!$A$2:$B$8,2,FALSE)</f>
        <v>#N/A</v>
      </c>
      <c r="F130" s="1" t="e">
        <f>VLOOKUP(AA130,[1]MaintenanceDuration_ID!$A$2:$B$5,2,FALSE)</f>
        <v>#N/A</v>
      </c>
      <c r="G130" s="1" t="e">
        <f>VLOOKUP(V130,[1]ExpectedDeliveryTime_ID!$A$2:$B$12,2,FALSE)</f>
        <v>#N/A</v>
      </c>
      <c r="H130" s="1" t="e">
        <f>VLOOKUP(AC130,[1]PaymentModel_ID!$A$2:$B$7,2,FALSE)</f>
        <v>#N/A</v>
      </c>
      <c r="I130" s="1" t="e">
        <f>VLOOKUP(W130,[1]ExpectedInvoiceDate_ID!$A$2:$B$12,2,FALSE)</f>
        <v>#N/A</v>
      </c>
      <c r="J130" s="1" t="e">
        <f>VLOOKUP(X130,[1]GrantOfRights_ID!$A$2:$B$7,2,FALSE)</f>
        <v>#N/A</v>
      </c>
      <c r="K130" s="1" t="str">
        <f>VLOOKUP(AE130,[1]Profile!$A$2:$B$8,2,FALSE)</f>
        <v>License</v>
      </c>
      <c r="M130" s="1" t="str">
        <f>VLOOKUP(Y130,[1]License_Method_ID!$A$2:$B$13,2,FALSE)</f>
        <v>no technical license protection</v>
      </c>
      <c r="O130" s="1">
        <v>10</v>
      </c>
      <c r="P130" s="1">
        <v>50</v>
      </c>
      <c r="Q130" s="1" t="str">
        <f>VLOOKUP(AB130,[1]Operational_Profit_Type_ID!$A$2:$B$3,2,FALSE)</f>
        <v>Fix rate</v>
      </c>
      <c r="R130" s="1" t="s">
        <v>55</v>
      </c>
      <c r="T130" s="1" t="str">
        <f>VLOOKUP(AD130,[1]UpdateRightID!$A$2:$B$4,2,FALSE)</f>
        <v>none</v>
      </c>
      <c r="U130" s="1" t="s">
        <v>48</v>
      </c>
      <c r="Y130" s="1">
        <v>0</v>
      </c>
      <c r="AB130" s="1">
        <v>1</v>
      </c>
      <c r="AD130" s="1">
        <v>0</v>
      </c>
      <c r="AE130" s="1">
        <v>1</v>
      </c>
    </row>
    <row r="131" spans="1:31" ht="45">
      <c r="B131" s="1" t="s">
        <v>379</v>
      </c>
      <c r="C131" t="s">
        <v>380</v>
      </c>
      <c r="D131" s="1" t="s">
        <v>378</v>
      </c>
      <c r="E131" s="1" t="e">
        <f>VLOOKUP(Z131,[1]LicenseDuration_ID!$A$2:$B$8,2,FALSE)</f>
        <v>#N/A</v>
      </c>
      <c r="F131" s="1" t="e">
        <f>VLOOKUP(AA131,[1]MaintenanceDuration_ID!$A$2:$B$5,2,FALSE)</f>
        <v>#N/A</v>
      </c>
      <c r="G131" s="1" t="e">
        <f>VLOOKUP(V131,[1]ExpectedDeliveryTime_ID!$A$2:$B$12,2,FALSE)</f>
        <v>#N/A</v>
      </c>
      <c r="H131" s="1" t="e">
        <f>VLOOKUP(AC131,[1]PaymentModel_ID!$A$2:$B$7,2,FALSE)</f>
        <v>#N/A</v>
      </c>
      <c r="I131" s="1" t="e">
        <f>VLOOKUP(W131,[1]ExpectedInvoiceDate_ID!$A$2:$B$12,2,FALSE)</f>
        <v>#N/A</v>
      </c>
      <c r="J131" s="1" t="e">
        <f>VLOOKUP(X131,[1]GrantOfRights_ID!$A$2:$B$7,2,FALSE)</f>
        <v>#N/A</v>
      </c>
      <c r="K131" s="1" t="str">
        <f>VLOOKUP(AE131,[1]Profile!$A$2:$B$8,2,FALSE)</f>
        <v>License</v>
      </c>
      <c r="M131" s="1" t="str">
        <f>VLOOKUP(Y131,[1]License_Method_ID!$A$2:$B$13,2,FALSE)</f>
        <v>no technical license protection</v>
      </c>
      <c r="O131" s="1">
        <v>10</v>
      </c>
      <c r="P131" s="1">
        <v>50</v>
      </c>
      <c r="Q131" s="1" t="str">
        <f>VLOOKUP(AB131,[1]Operational_Profit_Type_ID!$A$2:$B$3,2,FALSE)</f>
        <v>Fix rate</v>
      </c>
      <c r="R131" s="1" t="s">
        <v>55</v>
      </c>
      <c r="T131" s="1" t="str">
        <f>VLOOKUP(AD131,[1]UpdateRightID!$A$2:$B$4,2,FALSE)</f>
        <v>none</v>
      </c>
      <c r="U131" s="1" t="s">
        <v>48</v>
      </c>
      <c r="Y131" s="1">
        <v>0</v>
      </c>
      <c r="AB131" s="1">
        <v>1</v>
      </c>
      <c r="AD131" s="1">
        <v>0</v>
      </c>
      <c r="AE131" s="1">
        <v>1</v>
      </c>
    </row>
    <row r="132" spans="1:31" ht="270">
      <c r="B132" s="1" t="s">
        <v>381</v>
      </c>
      <c r="C132" t="s">
        <v>382</v>
      </c>
      <c r="D132" s="1" t="s">
        <v>383</v>
      </c>
      <c r="E132" s="1" t="e">
        <f>VLOOKUP(Z132,[1]LicenseDuration_ID!$A$2:$B$8,2,FALSE)</f>
        <v>#N/A</v>
      </c>
      <c r="F132" s="1" t="e">
        <f>VLOOKUP(AA132,[1]MaintenanceDuration_ID!$A$2:$B$5,2,FALSE)</f>
        <v>#N/A</v>
      </c>
      <c r="G132" s="1" t="e">
        <f>VLOOKUP(V132,[1]ExpectedDeliveryTime_ID!$A$2:$B$12,2,FALSE)</f>
        <v>#N/A</v>
      </c>
      <c r="H132" s="1" t="e">
        <f>VLOOKUP(AC132,[1]PaymentModel_ID!$A$2:$B$7,2,FALSE)</f>
        <v>#N/A</v>
      </c>
      <c r="I132" s="1" t="e">
        <f>VLOOKUP(W132,[1]ExpectedInvoiceDate_ID!$A$2:$B$12,2,FALSE)</f>
        <v>#N/A</v>
      </c>
      <c r="J132" s="1" t="e">
        <f>VLOOKUP(X132,[1]GrantOfRights_ID!$A$2:$B$7,2,FALSE)</f>
        <v>#N/A</v>
      </c>
      <c r="K132" s="1" t="str">
        <f>VLOOKUP(AE132,[1]Profile!$A$2:$B$8,2,FALSE)</f>
        <v>License</v>
      </c>
      <c r="M132" s="1" t="str">
        <f>VLOOKUP(Y132,[1]License_Method_ID!$A$2:$B$13,2,FALSE)</f>
        <v>no technical license protection</v>
      </c>
      <c r="O132" s="1">
        <v>10</v>
      </c>
      <c r="P132" s="1">
        <v>50</v>
      </c>
      <c r="Q132" s="1" t="str">
        <f>VLOOKUP(AB132,[1]Operational_Profit_Type_ID!$A$2:$B$3,2,FALSE)</f>
        <v>Fix rate</v>
      </c>
      <c r="R132" s="1" t="s">
        <v>55</v>
      </c>
      <c r="T132" s="1" t="str">
        <f>VLOOKUP(AD132,[1]UpdateRightID!$A$2:$B$4,2,FALSE)</f>
        <v>none</v>
      </c>
      <c r="U132" s="1" t="s">
        <v>48</v>
      </c>
      <c r="Y132" s="1">
        <v>0</v>
      </c>
      <c r="AB132" s="1">
        <v>1</v>
      </c>
      <c r="AD132" s="1">
        <v>0</v>
      </c>
      <c r="AE132" s="1">
        <v>1</v>
      </c>
    </row>
    <row r="133" spans="1:31">
      <c r="B133" s="1" t="s">
        <v>384</v>
      </c>
      <c r="C133" t="s">
        <v>385</v>
      </c>
      <c r="E133" s="1" t="e">
        <f>VLOOKUP(Z133,[1]LicenseDuration_ID!$A$2:$B$8,2,FALSE)</f>
        <v>#N/A</v>
      </c>
      <c r="F133" s="1" t="e">
        <f>VLOOKUP(AA133,[1]MaintenanceDuration_ID!$A$2:$B$5,2,FALSE)</f>
        <v>#N/A</v>
      </c>
      <c r="G133" s="1" t="e">
        <f>VLOOKUP(V133,[1]ExpectedDeliveryTime_ID!$A$2:$B$12,2,FALSE)</f>
        <v>#N/A</v>
      </c>
      <c r="H133" s="1" t="e">
        <f>VLOOKUP(AC133,[1]PaymentModel_ID!$A$2:$B$7,2,FALSE)</f>
        <v>#N/A</v>
      </c>
      <c r="I133" s="1" t="e">
        <f>VLOOKUP(W133,[1]ExpectedInvoiceDate_ID!$A$2:$B$12,2,FALSE)</f>
        <v>#N/A</v>
      </c>
      <c r="J133" s="1" t="e">
        <f>VLOOKUP(X133,[1]GrantOfRights_ID!$A$2:$B$7,2,FALSE)</f>
        <v>#N/A</v>
      </c>
      <c r="K133" s="1" t="str">
        <f>VLOOKUP(AE133,[1]Profile!$A$2:$B$8,2,FALSE)</f>
        <v>License</v>
      </c>
      <c r="M133" s="1" t="str">
        <f>VLOOKUP(Y133,[1]License_Method_ID!$A$2:$B$13,2,FALSE)</f>
        <v>no technical license protection</v>
      </c>
      <c r="O133" s="1">
        <v>10</v>
      </c>
      <c r="P133" s="1">
        <v>50</v>
      </c>
      <c r="Q133" s="1" t="str">
        <f>VLOOKUP(AB133,[1]Operational_Profit_Type_ID!$A$2:$B$3,2,FALSE)</f>
        <v>Fix rate</v>
      </c>
      <c r="R133" s="1" t="s">
        <v>55</v>
      </c>
      <c r="T133" s="1" t="str">
        <f>VLOOKUP(AD133,[1]UpdateRightID!$A$2:$B$4,2,FALSE)</f>
        <v>none</v>
      </c>
      <c r="U133" s="1" t="s">
        <v>48</v>
      </c>
      <c r="Y133" s="1">
        <v>0</v>
      </c>
      <c r="AB133" s="1">
        <v>1</v>
      </c>
      <c r="AD133" s="1">
        <v>0</v>
      </c>
      <c r="AE133" s="1">
        <v>1</v>
      </c>
    </row>
    <row r="134" spans="1:31">
      <c r="B134" s="1" t="s">
        <v>386</v>
      </c>
      <c r="C134" t="s">
        <v>387</v>
      </c>
      <c r="E134" s="1" t="e">
        <f>VLOOKUP(Z134,[1]LicenseDuration_ID!$A$2:$B$8,2,FALSE)</f>
        <v>#N/A</v>
      </c>
      <c r="F134" s="1" t="e">
        <f>VLOOKUP(AA134,[1]MaintenanceDuration_ID!$A$2:$B$5,2,FALSE)</f>
        <v>#N/A</v>
      </c>
      <c r="G134" s="1" t="e">
        <f>VLOOKUP(V134,[1]ExpectedDeliveryTime_ID!$A$2:$B$12,2,FALSE)</f>
        <v>#N/A</v>
      </c>
      <c r="H134" s="1" t="e">
        <f>VLOOKUP(AC134,[1]PaymentModel_ID!$A$2:$B$7,2,FALSE)</f>
        <v>#N/A</v>
      </c>
      <c r="I134" s="1" t="e">
        <f>VLOOKUP(W134,[1]ExpectedInvoiceDate_ID!$A$2:$B$12,2,FALSE)</f>
        <v>#N/A</v>
      </c>
      <c r="J134" s="1" t="e">
        <f>VLOOKUP(X134,[1]GrantOfRights_ID!$A$2:$B$7,2,FALSE)</f>
        <v>#N/A</v>
      </c>
      <c r="K134" s="1" t="str">
        <f>VLOOKUP(AE134,[1]Profile!$A$2:$B$8,2,FALSE)</f>
        <v>License</v>
      </c>
      <c r="M134" s="1" t="str">
        <f>VLOOKUP(Y134,[1]License_Method_ID!$A$2:$B$13,2,FALSE)</f>
        <v>no technical license protection</v>
      </c>
      <c r="O134" s="1">
        <v>10</v>
      </c>
      <c r="P134" s="1">
        <v>50</v>
      </c>
      <c r="Q134" s="1" t="str">
        <f>VLOOKUP(AB134,[1]Operational_Profit_Type_ID!$A$2:$B$3,2,FALSE)</f>
        <v>Fix rate</v>
      </c>
      <c r="R134" s="1" t="s">
        <v>55</v>
      </c>
      <c r="T134" s="1" t="str">
        <f>VLOOKUP(AD134,[1]UpdateRightID!$A$2:$B$4,2,FALSE)</f>
        <v>none</v>
      </c>
      <c r="U134" s="1" t="s">
        <v>48</v>
      </c>
      <c r="Y134" s="1">
        <v>0</v>
      </c>
      <c r="AB134" s="1">
        <v>1</v>
      </c>
      <c r="AD134" s="1">
        <v>0</v>
      </c>
      <c r="AE134" s="1">
        <v>1</v>
      </c>
    </row>
    <row r="135" spans="1:31">
      <c r="B135" s="1" t="s">
        <v>388</v>
      </c>
      <c r="C135" t="s">
        <v>389</v>
      </c>
      <c r="E135" s="1" t="e">
        <f>VLOOKUP(Z135,[1]LicenseDuration_ID!$A$2:$B$8,2,FALSE)</f>
        <v>#N/A</v>
      </c>
      <c r="F135" s="1" t="e">
        <f>VLOOKUP(AA135,[1]MaintenanceDuration_ID!$A$2:$B$5,2,FALSE)</f>
        <v>#N/A</v>
      </c>
      <c r="G135" s="1" t="e">
        <f>VLOOKUP(V135,[1]ExpectedDeliveryTime_ID!$A$2:$B$12,2,FALSE)</f>
        <v>#N/A</v>
      </c>
      <c r="H135" s="1" t="e">
        <f>VLOOKUP(AC135,[1]PaymentModel_ID!$A$2:$B$7,2,FALSE)</f>
        <v>#N/A</v>
      </c>
      <c r="I135" s="1" t="e">
        <f>VLOOKUP(W135,[1]ExpectedInvoiceDate_ID!$A$2:$B$12,2,FALSE)</f>
        <v>#N/A</v>
      </c>
      <c r="J135" s="1" t="e">
        <f>VLOOKUP(X135,[1]GrantOfRights_ID!$A$2:$B$7,2,FALSE)</f>
        <v>#N/A</v>
      </c>
      <c r="K135" s="1" t="str">
        <f>VLOOKUP(AE135,[1]Profile!$A$2:$B$8,2,FALSE)</f>
        <v>License</v>
      </c>
      <c r="M135" s="1" t="str">
        <f>VLOOKUP(Y135,[1]License_Method_ID!$A$2:$B$13,2,FALSE)</f>
        <v>no technical license protection</v>
      </c>
      <c r="O135" s="1">
        <v>10</v>
      </c>
      <c r="P135" s="1">
        <v>50</v>
      </c>
      <c r="Q135" s="1" t="str">
        <f>VLOOKUP(AB135,[1]Operational_Profit_Type_ID!$A$2:$B$3,2,FALSE)</f>
        <v>Fix rate</v>
      </c>
      <c r="R135" s="1" t="s">
        <v>55</v>
      </c>
      <c r="T135" s="1" t="str">
        <f>VLOOKUP(AD135,[1]UpdateRightID!$A$2:$B$4,2,FALSE)</f>
        <v>none</v>
      </c>
      <c r="U135" s="1" t="s">
        <v>48</v>
      </c>
      <c r="Y135" s="1">
        <v>0</v>
      </c>
      <c r="AB135" s="1">
        <v>1</v>
      </c>
      <c r="AD135" s="1">
        <v>0</v>
      </c>
      <c r="AE135" s="1">
        <v>1</v>
      </c>
    </row>
    <row r="136" spans="1:31">
      <c r="B136" s="1" t="s">
        <v>390</v>
      </c>
      <c r="C136" t="s">
        <v>391</v>
      </c>
      <c r="E136" s="1" t="e">
        <f>VLOOKUP(Z136,[1]LicenseDuration_ID!$A$2:$B$8,2,FALSE)</f>
        <v>#N/A</v>
      </c>
      <c r="F136" s="1" t="e">
        <f>VLOOKUP(AA136,[1]MaintenanceDuration_ID!$A$2:$B$5,2,FALSE)</f>
        <v>#N/A</v>
      </c>
      <c r="G136" s="1" t="e">
        <f>VLOOKUP(V136,[1]ExpectedDeliveryTime_ID!$A$2:$B$12,2,FALSE)</f>
        <v>#N/A</v>
      </c>
      <c r="H136" s="1" t="e">
        <f>VLOOKUP(AC136,[1]PaymentModel_ID!$A$2:$B$7,2,FALSE)</f>
        <v>#N/A</v>
      </c>
      <c r="I136" s="1" t="e">
        <f>VLOOKUP(W136,[1]ExpectedInvoiceDate_ID!$A$2:$B$12,2,FALSE)</f>
        <v>#N/A</v>
      </c>
      <c r="J136" s="1" t="e">
        <f>VLOOKUP(X136,[1]GrantOfRights_ID!$A$2:$B$7,2,FALSE)</f>
        <v>#N/A</v>
      </c>
      <c r="K136" s="1" t="str">
        <f>VLOOKUP(AE136,[1]Profile!$A$2:$B$8,2,FALSE)</f>
        <v>License</v>
      </c>
      <c r="M136" s="1" t="str">
        <f>VLOOKUP(Y136,[1]License_Method_ID!$A$2:$B$13,2,FALSE)</f>
        <v>no technical license protection</v>
      </c>
      <c r="O136" s="1">
        <v>10</v>
      </c>
      <c r="P136" s="1">
        <v>50</v>
      </c>
      <c r="Q136" s="1" t="str">
        <f>VLOOKUP(AB136,[1]Operational_Profit_Type_ID!$A$2:$B$3,2,FALSE)</f>
        <v>Fix rate</v>
      </c>
      <c r="R136" s="1" t="s">
        <v>55</v>
      </c>
      <c r="T136" s="1" t="str">
        <f>VLOOKUP(AD136,[1]UpdateRightID!$A$2:$B$4,2,FALSE)</f>
        <v>none</v>
      </c>
      <c r="U136" s="1" t="s">
        <v>48</v>
      </c>
      <c r="Y136" s="1">
        <v>0</v>
      </c>
      <c r="AB136" s="1">
        <v>1</v>
      </c>
      <c r="AD136" s="1">
        <v>0</v>
      </c>
      <c r="AE136" s="1">
        <v>1</v>
      </c>
    </row>
    <row r="137" spans="1:31" ht="315">
      <c r="B137" s="1" t="s">
        <v>392</v>
      </c>
      <c r="C137" t="s">
        <v>393</v>
      </c>
      <c r="D137" s="1" t="s">
        <v>394</v>
      </c>
      <c r="E137" s="1" t="e">
        <f>VLOOKUP(Z137,[1]LicenseDuration_ID!$A$2:$B$8,2,FALSE)</f>
        <v>#N/A</v>
      </c>
      <c r="F137" s="1" t="e">
        <f>VLOOKUP(AA137,[1]MaintenanceDuration_ID!$A$2:$B$5,2,FALSE)</f>
        <v>#N/A</v>
      </c>
      <c r="G137" s="1" t="e">
        <f>VLOOKUP(V137,[1]ExpectedDeliveryTime_ID!$A$2:$B$12,2,FALSE)</f>
        <v>#N/A</v>
      </c>
      <c r="H137" s="1" t="e">
        <f>VLOOKUP(AC137,[1]PaymentModel_ID!$A$2:$B$7,2,FALSE)</f>
        <v>#N/A</v>
      </c>
      <c r="I137" s="1" t="e">
        <f>VLOOKUP(W137,[1]ExpectedInvoiceDate_ID!$A$2:$B$12,2,FALSE)</f>
        <v>#N/A</v>
      </c>
      <c r="J137" s="1" t="e">
        <f>VLOOKUP(X137,[1]GrantOfRights_ID!$A$2:$B$7,2,FALSE)</f>
        <v>#N/A</v>
      </c>
      <c r="K137" s="1" t="str">
        <f>VLOOKUP(AE137,[1]Profile!$A$2:$B$8,2,FALSE)</f>
        <v>Product related service without profile</v>
      </c>
      <c r="M137" s="1" t="str">
        <f>VLOOKUP(Y137,[1]License_Method_ID!$A$2:$B$13,2,FALSE)</f>
        <v>no technical license protection</v>
      </c>
      <c r="O137" s="1">
        <v>10</v>
      </c>
      <c r="Q137" s="1" t="str">
        <f>VLOOKUP(AB137,[1]Operational_Profit_Type_ID!$A$2:$B$3,2,FALSE)</f>
        <v>Calculated</v>
      </c>
      <c r="R137" s="1" t="s">
        <v>55</v>
      </c>
      <c r="T137" s="1" t="str">
        <f>VLOOKUP(AD137,[1]UpdateRightID!$A$2:$B$4,2,FALSE)</f>
        <v>none</v>
      </c>
      <c r="U137" s="1" t="s">
        <v>48</v>
      </c>
      <c r="Y137" s="1">
        <v>0</v>
      </c>
      <c r="AB137" s="1">
        <v>2</v>
      </c>
      <c r="AD137" s="1">
        <v>0</v>
      </c>
      <c r="AE137" s="1">
        <v>0</v>
      </c>
    </row>
    <row r="138" spans="1:31" ht="165">
      <c r="B138" s="1" t="s">
        <v>395</v>
      </c>
      <c r="C138" t="s">
        <v>396</v>
      </c>
      <c r="D138" s="1" t="s">
        <v>397</v>
      </c>
      <c r="E138" s="1" t="e">
        <f>VLOOKUP(Z138,[1]LicenseDuration_ID!$A$2:$B$8,2,FALSE)</f>
        <v>#N/A</v>
      </c>
      <c r="F138" s="1" t="e">
        <f>VLOOKUP(AA138,[1]MaintenanceDuration_ID!$A$2:$B$5,2,FALSE)</f>
        <v>#N/A</v>
      </c>
      <c r="G138" s="1" t="e">
        <f>VLOOKUP(V138,[1]ExpectedDeliveryTime_ID!$A$2:$B$12,2,FALSE)</f>
        <v>#N/A</v>
      </c>
      <c r="H138" s="1" t="e">
        <f>VLOOKUP(AC138,[1]PaymentModel_ID!$A$2:$B$7,2,FALSE)</f>
        <v>#N/A</v>
      </c>
      <c r="I138" s="1" t="e">
        <f>VLOOKUP(W138,[1]ExpectedInvoiceDate_ID!$A$2:$B$12,2,FALSE)</f>
        <v>#N/A</v>
      </c>
      <c r="J138" s="1" t="e">
        <f>VLOOKUP(X138,[1]GrantOfRights_ID!$A$2:$B$7,2,FALSE)</f>
        <v>#N/A</v>
      </c>
      <c r="K138" s="1" t="str">
        <f>VLOOKUP(AE138,[1]Profile!$A$2:$B$8,2,FALSE)</f>
        <v>License</v>
      </c>
      <c r="M138" s="1" t="str">
        <f>VLOOKUP(Y138,[1]License_Method_ID!$A$2:$B$13,2,FALSE)</f>
        <v>no technical license protection</v>
      </c>
      <c r="O138" s="1">
        <v>10</v>
      </c>
      <c r="P138" s="1">
        <v>50</v>
      </c>
      <c r="Q138" s="1" t="str">
        <f>VLOOKUP(AB138,[1]Operational_Profit_Type_ID!$A$2:$B$3,2,FALSE)</f>
        <v>Fix rate</v>
      </c>
      <c r="R138" s="1" t="s">
        <v>55</v>
      </c>
      <c r="T138" s="1" t="str">
        <f>VLOOKUP(AD138,[1]UpdateRightID!$A$2:$B$4,2,FALSE)</f>
        <v>none</v>
      </c>
      <c r="U138" s="1" t="s">
        <v>48</v>
      </c>
      <c r="Y138" s="1">
        <v>0</v>
      </c>
      <c r="AB138" s="1">
        <v>1</v>
      </c>
      <c r="AD138" s="1">
        <v>0</v>
      </c>
      <c r="AE138" s="1">
        <v>1</v>
      </c>
    </row>
    <row r="139" spans="1:31" ht="240">
      <c r="B139" s="1" t="s">
        <v>398</v>
      </c>
      <c r="C139" t="s">
        <v>399</v>
      </c>
      <c r="D139" s="1" t="s">
        <v>400</v>
      </c>
      <c r="E139" s="1" t="e">
        <f>VLOOKUP(Z139,[1]LicenseDuration_ID!$A$2:$B$8,2,FALSE)</f>
        <v>#N/A</v>
      </c>
      <c r="F139" s="1" t="e">
        <f>VLOOKUP(AA139,[1]MaintenanceDuration_ID!$A$2:$B$5,2,FALSE)</f>
        <v>#N/A</v>
      </c>
      <c r="G139" s="1" t="e">
        <f>VLOOKUP(V139,[1]ExpectedDeliveryTime_ID!$A$2:$B$12,2,FALSE)</f>
        <v>#N/A</v>
      </c>
      <c r="H139" s="1" t="e">
        <f>VLOOKUP(AC139,[1]PaymentModel_ID!$A$2:$B$7,2,FALSE)</f>
        <v>#N/A</v>
      </c>
      <c r="I139" s="1" t="e">
        <f>VLOOKUP(W139,[1]ExpectedInvoiceDate_ID!$A$2:$B$12,2,FALSE)</f>
        <v>#N/A</v>
      </c>
      <c r="J139" s="1" t="e">
        <f>VLOOKUP(X139,[1]GrantOfRights_ID!$A$2:$B$7,2,FALSE)</f>
        <v>#N/A</v>
      </c>
      <c r="K139" s="1" t="str">
        <f>VLOOKUP(AE139,[1]Profile!$A$2:$B$8,2,FALSE)</f>
        <v>License</v>
      </c>
      <c r="M139" s="1" t="str">
        <f>VLOOKUP(Y139,[1]License_Method_ID!$A$2:$B$13,2,FALSE)</f>
        <v>no technical license protection</v>
      </c>
      <c r="O139" s="1">
        <v>10</v>
      </c>
      <c r="P139" s="1">
        <v>50</v>
      </c>
      <c r="Q139" s="1" t="str">
        <f>VLOOKUP(AB139,[1]Operational_Profit_Type_ID!$A$2:$B$3,2,FALSE)</f>
        <v>Fix rate</v>
      </c>
      <c r="R139" s="1" t="s">
        <v>55</v>
      </c>
      <c r="T139" s="1" t="str">
        <f>VLOOKUP(AD139,[1]UpdateRightID!$A$2:$B$4,2,FALSE)</f>
        <v>none</v>
      </c>
      <c r="U139" s="1" t="s">
        <v>48</v>
      </c>
      <c r="Y139" s="1">
        <v>0</v>
      </c>
      <c r="AB139" s="1">
        <v>1</v>
      </c>
      <c r="AD139" s="1">
        <v>0</v>
      </c>
      <c r="AE139" s="1">
        <v>1</v>
      </c>
    </row>
    <row r="140" spans="1:31">
      <c r="B140" s="1" t="s">
        <v>401</v>
      </c>
      <c r="C140" t="s">
        <v>402</v>
      </c>
      <c r="E140" s="1" t="e">
        <f>VLOOKUP(Z140,[1]LicenseDuration_ID!$A$2:$B$8,2,FALSE)</f>
        <v>#N/A</v>
      </c>
      <c r="F140" s="1" t="e">
        <f>VLOOKUP(AA140,[1]MaintenanceDuration_ID!$A$2:$B$5,2,FALSE)</f>
        <v>#N/A</v>
      </c>
      <c r="G140" s="1" t="e">
        <f>VLOOKUP(V140,[1]ExpectedDeliveryTime_ID!$A$2:$B$12,2,FALSE)</f>
        <v>#N/A</v>
      </c>
      <c r="H140" s="1" t="e">
        <f>VLOOKUP(AC140,[1]PaymentModel_ID!$A$2:$B$7,2,FALSE)</f>
        <v>#N/A</v>
      </c>
      <c r="I140" s="1" t="e">
        <f>VLOOKUP(W140,[1]ExpectedInvoiceDate_ID!$A$2:$B$12,2,FALSE)</f>
        <v>#N/A</v>
      </c>
      <c r="J140" s="1" t="e">
        <f>VLOOKUP(X140,[1]GrantOfRights_ID!$A$2:$B$7,2,FALSE)</f>
        <v>#N/A</v>
      </c>
      <c r="K140" s="1" t="str">
        <f>VLOOKUP(AE140,[1]Profile!$A$2:$B$8,2,FALSE)</f>
        <v>License</v>
      </c>
      <c r="M140" s="1" t="str">
        <f>VLOOKUP(Y140,[1]License_Method_ID!$A$2:$B$13,2,FALSE)</f>
        <v>no technical license protection</v>
      </c>
      <c r="O140" s="1">
        <v>10</v>
      </c>
      <c r="P140" s="1">
        <v>50</v>
      </c>
      <c r="Q140" s="1" t="str">
        <f>VLOOKUP(AB140,[1]Operational_Profit_Type_ID!$A$2:$B$3,2,FALSE)</f>
        <v>Fix rate</v>
      </c>
      <c r="R140" s="1" t="s">
        <v>55</v>
      </c>
      <c r="T140" s="1" t="str">
        <f>VLOOKUP(AD140,[1]UpdateRightID!$A$2:$B$4,2,FALSE)</f>
        <v>none</v>
      </c>
      <c r="U140" s="1" t="s">
        <v>48</v>
      </c>
      <c r="Y140" s="1">
        <v>0</v>
      </c>
      <c r="AB140" s="1">
        <v>1</v>
      </c>
      <c r="AD140" s="1">
        <v>0</v>
      </c>
      <c r="AE140" s="1">
        <v>1</v>
      </c>
    </row>
    <row r="141" spans="1:31">
      <c r="B141" s="1" t="s">
        <v>403</v>
      </c>
      <c r="C141" t="s">
        <v>404</v>
      </c>
      <c r="E141" s="1" t="e">
        <f>VLOOKUP(Z141,[1]LicenseDuration_ID!$A$2:$B$8,2,FALSE)</f>
        <v>#N/A</v>
      </c>
      <c r="F141" s="1" t="e">
        <f>VLOOKUP(AA141,[1]MaintenanceDuration_ID!$A$2:$B$5,2,FALSE)</f>
        <v>#N/A</v>
      </c>
      <c r="G141" s="1" t="e">
        <f>VLOOKUP(V141,[1]ExpectedDeliveryTime_ID!$A$2:$B$12,2,FALSE)</f>
        <v>#N/A</v>
      </c>
      <c r="H141" s="1" t="e">
        <f>VLOOKUP(AC141,[1]PaymentModel_ID!$A$2:$B$7,2,FALSE)</f>
        <v>#N/A</v>
      </c>
      <c r="I141" s="1" t="e">
        <f>VLOOKUP(W141,[1]ExpectedInvoiceDate_ID!$A$2:$B$12,2,FALSE)</f>
        <v>#N/A</v>
      </c>
      <c r="J141" s="1" t="e">
        <f>VLOOKUP(X141,[1]GrantOfRights_ID!$A$2:$B$7,2,FALSE)</f>
        <v>#N/A</v>
      </c>
      <c r="K141" s="1" t="str">
        <f>VLOOKUP(AE141,[1]Profile!$A$2:$B$8,2,FALSE)</f>
        <v>License</v>
      </c>
      <c r="M141" s="1" t="str">
        <f>VLOOKUP(Y141,[1]License_Method_ID!$A$2:$B$13,2,FALSE)</f>
        <v>no technical license protection</v>
      </c>
      <c r="O141" s="1">
        <v>10</v>
      </c>
      <c r="P141" s="1">
        <v>50</v>
      </c>
      <c r="Q141" s="1" t="str">
        <f>VLOOKUP(AB141,[1]Operational_Profit_Type_ID!$A$2:$B$3,2,FALSE)</f>
        <v>Fix rate</v>
      </c>
      <c r="R141" s="1" t="s">
        <v>55</v>
      </c>
      <c r="T141" s="1" t="str">
        <f>VLOOKUP(AD141,[1]UpdateRightID!$A$2:$B$4,2,FALSE)</f>
        <v>none</v>
      </c>
      <c r="U141" s="1" t="s">
        <v>48</v>
      </c>
      <c r="Y141" s="1">
        <v>0</v>
      </c>
      <c r="AB141" s="1">
        <v>1</v>
      </c>
      <c r="AD141" s="1">
        <v>0</v>
      </c>
      <c r="AE141" s="1">
        <v>1</v>
      </c>
    </row>
    <row r="142" spans="1:31" ht="75">
      <c r="B142" s="1" t="s">
        <v>405</v>
      </c>
      <c r="C142" t="s">
        <v>406</v>
      </c>
      <c r="D142" s="1" t="s">
        <v>407</v>
      </c>
      <c r="E142" s="1" t="e">
        <f>VLOOKUP(Z142,[1]LicenseDuration_ID!$A$2:$B$8,2,FALSE)</f>
        <v>#N/A</v>
      </c>
      <c r="F142" s="1" t="e">
        <f>VLOOKUP(AA142,[1]MaintenanceDuration_ID!$A$2:$B$5,2,FALSE)</f>
        <v>#N/A</v>
      </c>
      <c r="G142" s="1" t="e">
        <f>VLOOKUP(V142,[1]ExpectedDeliveryTime_ID!$A$2:$B$12,2,FALSE)</f>
        <v>#N/A</v>
      </c>
      <c r="H142" s="1" t="e">
        <f>VLOOKUP(AC142,[1]PaymentModel_ID!$A$2:$B$7,2,FALSE)</f>
        <v>#N/A</v>
      </c>
      <c r="I142" s="1" t="e">
        <f>VLOOKUP(W142,[1]ExpectedInvoiceDate_ID!$A$2:$B$12,2,FALSE)</f>
        <v>#N/A</v>
      </c>
      <c r="J142" s="1" t="e">
        <f>VLOOKUP(X142,[1]GrantOfRights_ID!$A$2:$B$7,2,FALSE)</f>
        <v>#N/A</v>
      </c>
      <c r="K142" s="1" t="str">
        <f>VLOOKUP(AE142,[1]Profile!$A$2:$B$8,2,FALSE)</f>
        <v>Product related service without profile</v>
      </c>
      <c r="M142" s="1" t="str">
        <f>VLOOKUP(Y142,[1]License_Method_ID!$A$2:$B$13,2,FALSE)</f>
        <v>no technical license protection</v>
      </c>
      <c r="O142" s="1">
        <v>10</v>
      </c>
      <c r="Q142" s="1" t="str">
        <f>VLOOKUP(AB142,[1]Operational_Profit_Type_ID!$A$2:$B$3,2,FALSE)</f>
        <v>Calculated</v>
      </c>
      <c r="R142" s="1" t="s">
        <v>55</v>
      </c>
      <c r="T142" s="1" t="str">
        <f>VLOOKUP(AD142,[1]UpdateRightID!$A$2:$B$4,2,FALSE)</f>
        <v>none</v>
      </c>
      <c r="U142" s="1" t="s">
        <v>48</v>
      </c>
      <c r="Y142" s="1">
        <v>0</v>
      </c>
      <c r="AB142" s="1">
        <v>2</v>
      </c>
      <c r="AD142" s="1">
        <v>0</v>
      </c>
      <c r="AE142" s="1">
        <v>0</v>
      </c>
    </row>
    <row r="143" spans="1:31" ht="60">
      <c r="B143" s="1" t="s">
        <v>408</v>
      </c>
      <c r="C143" t="s">
        <v>409</v>
      </c>
      <c r="D143" s="1" t="s">
        <v>410</v>
      </c>
      <c r="E143" s="1" t="e">
        <f>VLOOKUP(Z143,[1]LicenseDuration_ID!$A$2:$B$8,2,FALSE)</f>
        <v>#N/A</v>
      </c>
      <c r="F143" s="1" t="e">
        <f>VLOOKUP(AA143,[1]MaintenanceDuration_ID!$A$2:$B$5,2,FALSE)</f>
        <v>#N/A</v>
      </c>
      <c r="G143" s="1" t="e">
        <f>VLOOKUP(V143,[1]ExpectedDeliveryTime_ID!$A$2:$B$12,2,FALSE)</f>
        <v>#N/A</v>
      </c>
      <c r="H143" s="1" t="e">
        <f>VLOOKUP(AC143,[1]PaymentModel_ID!$A$2:$B$7,2,FALSE)</f>
        <v>#N/A</v>
      </c>
      <c r="I143" s="1" t="e">
        <f>VLOOKUP(W143,[1]ExpectedInvoiceDate_ID!$A$2:$B$12,2,FALSE)</f>
        <v>#N/A</v>
      </c>
      <c r="J143" s="1" t="e">
        <f>VLOOKUP(X143,[1]GrantOfRights_ID!$A$2:$B$7,2,FALSE)</f>
        <v>#N/A</v>
      </c>
      <c r="K143" s="1" t="str">
        <f>VLOOKUP(AE143,[1]Profile!$A$2:$B$8,2,FALSE)</f>
        <v>License</v>
      </c>
      <c r="M143" s="1" t="str">
        <f>VLOOKUP(Y143,[1]License_Method_ID!$A$2:$B$13,2,FALSE)</f>
        <v>FlexNet Publisher Dongle License File</v>
      </c>
      <c r="N143" s="1" t="s">
        <v>47</v>
      </c>
      <c r="O143" s="1">
        <v>10</v>
      </c>
      <c r="P143" s="1">
        <v>50</v>
      </c>
      <c r="Q143" s="1" t="str">
        <f>VLOOKUP(AB143,[1]Operational_Profit_Type_ID!$A$2:$B$3,2,FALSE)</f>
        <v>Fix rate</v>
      </c>
      <c r="R143" s="1" t="s">
        <v>48</v>
      </c>
      <c r="T143" s="1" t="str">
        <f>VLOOKUP(AD143,[1]UpdateRightID!$A$2:$B$4,2,FALSE)</f>
        <v>UpdateRightByConfiguration</v>
      </c>
      <c r="U143" s="1" t="s">
        <v>48</v>
      </c>
      <c r="Y143" s="1">
        <v>3</v>
      </c>
      <c r="AB143" s="1">
        <v>1</v>
      </c>
      <c r="AD143" s="1">
        <v>1</v>
      </c>
      <c r="AE143" s="1">
        <v>1</v>
      </c>
    </row>
    <row r="144" spans="1:31" ht="45">
      <c r="A144" s="1" t="s">
        <v>43</v>
      </c>
      <c r="B144" s="1" t="s">
        <v>411</v>
      </c>
      <c r="C144" t="s">
        <v>412</v>
      </c>
      <c r="D144" s="1" t="s">
        <v>413</v>
      </c>
      <c r="E144" s="1" t="str">
        <f>VLOOKUP(Z144,[1]LicenseDuration_ID!$A$2:$B$8,2,FALSE)</f>
        <v>perpetual</v>
      </c>
      <c r="F144" s="1" t="str">
        <f>VLOOKUP(AA144,[1]MaintenanceDuration_ID!$A$2:$B$5,2,FALSE)</f>
        <v>n/a</v>
      </c>
      <c r="G144" s="1" t="str">
        <f>VLOOKUP(V144,[1]ExpectedDeliveryTime_ID!$A$2:$B$12,2,FALSE)</f>
        <v>Based on hardware delivery</v>
      </c>
      <c r="H144" s="1" t="str">
        <f>VLOOKUP(AC144,[1]PaymentModel_ID!$A$2:$B$7,2,FALSE)</f>
        <v>One-time payment</v>
      </c>
      <c r="I144" s="1" t="str">
        <f>VLOOKUP(W144,[1]ExpectedInvoiceDate_ID!$A$2:$B$12,2,FALSE)</f>
        <v>With FINAL DELIVERY</v>
      </c>
      <c r="J144" s="1" t="str">
        <f>VLOOKUP(X144,[1]GrantOfRights_ID!$A$2:$B$7,2,FALSE)</f>
        <v>Software integrated in Hardware</v>
      </c>
      <c r="K144" s="1" t="str">
        <f>VLOOKUP(AE144,[1]Profile!$A$2:$B$8,2,FALSE)</f>
        <v>License</v>
      </c>
      <c r="M144" s="1" t="str">
        <f>VLOOKUP(Y144,[1]License_Method_ID!$A$2:$B$13,2,FALSE)</f>
        <v>EB Hardware License File</v>
      </c>
      <c r="N144" s="1" t="s">
        <v>47</v>
      </c>
      <c r="O144" s="1">
        <v>10</v>
      </c>
      <c r="P144" s="1">
        <v>50</v>
      </c>
      <c r="Q144" s="1" t="str">
        <f>VLOOKUP(AB144,[1]Operational_Profit_Type_ID!$A$2:$B$3,2,FALSE)</f>
        <v>Fix rate</v>
      </c>
      <c r="R144" s="1" t="s">
        <v>48</v>
      </c>
      <c r="T144" s="1" t="str">
        <f>VLOOKUP(AD144,[1]UpdateRightID!$A$2:$B$4,2,FALSE)</f>
        <v>none</v>
      </c>
      <c r="U144" s="1" t="s">
        <v>48</v>
      </c>
      <c r="V144" s="1">
        <v>17</v>
      </c>
      <c r="W144" s="1">
        <v>7</v>
      </c>
      <c r="X144" s="1">
        <v>6</v>
      </c>
      <c r="Y144" s="1">
        <v>4</v>
      </c>
      <c r="Z144" s="1">
        <v>6</v>
      </c>
      <c r="AA144" s="1">
        <v>1</v>
      </c>
      <c r="AB144" s="1">
        <v>1</v>
      </c>
      <c r="AC144" s="1">
        <v>2</v>
      </c>
      <c r="AD144" s="1">
        <v>0</v>
      </c>
      <c r="AE144" s="1">
        <v>1</v>
      </c>
    </row>
    <row r="145" spans="1:31" ht="120">
      <c r="A145" s="1" t="s">
        <v>43</v>
      </c>
      <c r="B145" s="1" t="s">
        <v>414</v>
      </c>
      <c r="C145" t="s">
        <v>415</v>
      </c>
      <c r="D145" s="1" t="s">
        <v>416</v>
      </c>
      <c r="E145" s="1" t="str">
        <f>VLOOKUP(Z145,[1]LicenseDuration_ID!$A$2:$B$8,2,FALSE)</f>
        <v>perpetual</v>
      </c>
      <c r="F145" s="1" t="str">
        <f>VLOOKUP(AA145,[1]MaintenanceDuration_ID!$A$2:$B$5,2,FALSE)</f>
        <v>12 months</v>
      </c>
      <c r="G145" s="1" t="str">
        <f>VLOOKUP(V145,[1]ExpectedDeliveryTime_ID!$A$2:$B$12,2,FALSE)</f>
        <v>FINALIZED PURCHASE PROCESS + 16 weeks</v>
      </c>
      <c r="H145" s="1" t="str">
        <f>VLOOKUP(AC145,[1]PaymentModel_ID!$A$2:$B$7,2,FALSE)</f>
        <v>One-time payment</v>
      </c>
      <c r="I145" s="1" t="str">
        <f>VLOOKUP(W145,[1]ExpectedInvoiceDate_ID!$A$2:$B$12,2,FALSE)</f>
        <v>With FINAL DELIVERY</v>
      </c>
      <c r="J145" s="1" t="str">
        <f>VLOOKUP(X145,[1]GrantOfRights_ID!$A$2:$B$7,2,FALSE)</f>
        <v>Software integrated in Hardware</v>
      </c>
      <c r="K145" s="1" t="str">
        <f>VLOOKUP(AE145,[1]Profile!$A$2:$B$8,2,FALSE)</f>
        <v>Hardware</v>
      </c>
      <c r="M145" s="1" t="str">
        <f>VLOOKUP(Y145,[1]License_Method_ID!$A$2:$B$13,2,FALSE)</f>
        <v>no technical license protection</v>
      </c>
      <c r="N145" s="1" t="s">
        <v>47</v>
      </c>
      <c r="O145" s="1">
        <v>10</v>
      </c>
      <c r="Q145" s="1" t="str">
        <f>VLOOKUP(AB145,[1]Operational_Profit_Type_ID!$A$2:$B$3,2,FALSE)</f>
        <v>Calculated</v>
      </c>
      <c r="R145" s="1" t="s">
        <v>48</v>
      </c>
      <c r="T145" s="1" t="str">
        <f>VLOOKUP(AD145,[1]UpdateRightID!$A$2:$B$4,2,FALSE)</f>
        <v>UpdateRightByConfiguration</v>
      </c>
      <c r="U145" s="1" t="s">
        <v>48</v>
      </c>
      <c r="V145" s="1">
        <v>16</v>
      </c>
      <c r="W145" s="1">
        <v>7</v>
      </c>
      <c r="X145" s="1">
        <v>6</v>
      </c>
      <c r="Y145" s="1">
        <v>0</v>
      </c>
      <c r="Z145" s="1">
        <v>6</v>
      </c>
      <c r="AA145" s="1">
        <v>3</v>
      </c>
      <c r="AB145" s="1">
        <v>2</v>
      </c>
      <c r="AC145" s="1">
        <v>2</v>
      </c>
      <c r="AD145" s="1">
        <v>1</v>
      </c>
      <c r="AE145" s="1">
        <v>6</v>
      </c>
    </row>
    <row r="146" spans="1:31" ht="45">
      <c r="B146" s="1" t="s">
        <v>417</v>
      </c>
      <c r="C146" t="s">
        <v>418</v>
      </c>
      <c r="D146" s="1" t="s">
        <v>419</v>
      </c>
      <c r="E146" s="1" t="e">
        <f>VLOOKUP(Z146,[1]LicenseDuration_ID!$A$2:$B$8,2,FALSE)</f>
        <v>#N/A</v>
      </c>
      <c r="F146" s="1" t="e">
        <f>VLOOKUP(AA146,[1]MaintenanceDuration_ID!$A$2:$B$5,2,FALSE)</f>
        <v>#N/A</v>
      </c>
      <c r="G146" s="1" t="e">
        <f>VLOOKUP(V146,[1]ExpectedDeliveryTime_ID!$A$2:$B$12,2,FALSE)</f>
        <v>#N/A</v>
      </c>
      <c r="H146" s="1" t="e">
        <f>VLOOKUP(AC146,[1]PaymentModel_ID!$A$2:$B$7,2,FALSE)</f>
        <v>#N/A</v>
      </c>
      <c r="I146" s="1" t="e">
        <f>VLOOKUP(W146,[1]ExpectedInvoiceDate_ID!$A$2:$B$12,2,FALSE)</f>
        <v>#N/A</v>
      </c>
      <c r="J146" s="1" t="e">
        <f>VLOOKUP(X146,[1]GrantOfRights_ID!$A$2:$B$7,2,FALSE)</f>
        <v>#N/A</v>
      </c>
      <c r="K146" s="1" t="str">
        <f>VLOOKUP(AE146,[1]Profile!$A$2:$B$8,2,FALSE)</f>
        <v>License</v>
      </c>
      <c r="M146" s="1" t="str">
        <f>VLOOKUP(Y146,[1]License_Method_ID!$A$2:$B$13,2,FALSE)</f>
        <v>no technical license protection</v>
      </c>
      <c r="O146" s="1">
        <v>10</v>
      </c>
      <c r="P146" s="1">
        <v>50</v>
      </c>
      <c r="Q146" s="1" t="str">
        <f>VLOOKUP(AB146,[1]Operational_Profit_Type_ID!$A$2:$B$3,2,FALSE)</f>
        <v>Fix rate</v>
      </c>
      <c r="R146" s="1" t="s">
        <v>55</v>
      </c>
      <c r="T146" s="1" t="str">
        <f>VLOOKUP(AD146,[1]UpdateRightID!$A$2:$B$4,2,FALSE)</f>
        <v>none</v>
      </c>
      <c r="U146" s="1" t="s">
        <v>48</v>
      </c>
      <c r="Y146" s="1">
        <v>0</v>
      </c>
      <c r="AB146" s="1">
        <v>1</v>
      </c>
      <c r="AD146" s="1">
        <v>0</v>
      </c>
      <c r="AE146" s="1">
        <v>1</v>
      </c>
    </row>
    <row r="147" spans="1:31" ht="105">
      <c r="B147" s="1" t="s">
        <v>420</v>
      </c>
      <c r="C147" t="s">
        <v>421</v>
      </c>
      <c r="D147" s="1" t="s">
        <v>422</v>
      </c>
      <c r="E147" s="1" t="e">
        <f>VLOOKUP(Z147,[1]LicenseDuration_ID!$A$2:$B$8,2,FALSE)</f>
        <v>#N/A</v>
      </c>
      <c r="F147" s="1" t="e">
        <f>VLOOKUP(AA147,[1]MaintenanceDuration_ID!$A$2:$B$5,2,FALSE)</f>
        <v>#N/A</v>
      </c>
      <c r="G147" s="1" t="e">
        <f>VLOOKUP(V147,[1]ExpectedDeliveryTime_ID!$A$2:$B$12,2,FALSE)</f>
        <v>#N/A</v>
      </c>
      <c r="H147" s="1" t="e">
        <f>VLOOKUP(AC147,[1]PaymentModel_ID!$A$2:$B$7,2,FALSE)</f>
        <v>#N/A</v>
      </c>
      <c r="I147" s="1" t="e">
        <f>VLOOKUP(W147,[1]ExpectedInvoiceDate_ID!$A$2:$B$12,2,FALSE)</f>
        <v>#N/A</v>
      </c>
      <c r="J147" s="1" t="e">
        <f>VLOOKUP(X147,[1]GrantOfRights_ID!$A$2:$B$7,2,FALSE)</f>
        <v>#N/A</v>
      </c>
      <c r="K147" s="1" t="str">
        <f>VLOOKUP(AE147,[1]Profile!$A$2:$B$8,2,FALSE)</f>
        <v>Product related service without profile</v>
      </c>
      <c r="M147" s="1" t="str">
        <f>VLOOKUP(Y147,[1]License_Method_ID!$A$2:$B$13,2,FALSE)</f>
        <v>no technical license protection</v>
      </c>
      <c r="O147" s="1">
        <v>10</v>
      </c>
      <c r="Q147" s="1" t="str">
        <f>VLOOKUP(AB147,[1]Operational_Profit_Type_ID!$A$2:$B$3,2,FALSE)</f>
        <v>Calculated</v>
      </c>
      <c r="R147" s="1" t="s">
        <v>55</v>
      </c>
      <c r="T147" s="1" t="str">
        <f>VLOOKUP(AD147,[1]UpdateRightID!$A$2:$B$4,2,FALSE)</f>
        <v>none</v>
      </c>
      <c r="U147" s="1" t="s">
        <v>48</v>
      </c>
      <c r="Y147" s="1">
        <v>0</v>
      </c>
      <c r="AB147" s="1">
        <v>2</v>
      </c>
      <c r="AD147" s="1">
        <v>0</v>
      </c>
      <c r="AE147" s="1">
        <v>0</v>
      </c>
    </row>
    <row r="148" spans="1:31" ht="60">
      <c r="B148" s="1" t="s">
        <v>423</v>
      </c>
      <c r="C148" t="s">
        <v>424</v>
      </c>
      <c r="D148" s="1" t="s">
        <v>425</v>
      </c>
      <c r="E148" s="1" t="e">
        <f>VLOOKUP(Z148,[1]LicenseDuration_ID!$A$2:$B$8,2,FALSE)</f>
        <v>#N/A</v>
      </c>
      <c r="F148" s="1" t="e">
        <f>VLOOKUP(AA148,[1]MaintenanceDuration_ID!$A$2:$B$5,2,FALSE)</f>
        <v>#N/A</v>
      </c>
      <c r="G148" s="1" t="e">
        <f>VLOOKUP(V148,[1]ExpectedDeliveryTime_ID!$A$2:$B$12,2,FALSE)</f>
        <v>#N/A</v>
      </c>
      <c r="H148" s="1" t="e">
        <f>VLOOKUP(AC148,[1]PaymentModel_ID!$A$2:$B$7,2,FALSE)</f>
        <v>#N/A</v>
      </c>
      <c r="I148" s="1" t="e">
        <f>VLOOKUP(W148,[1]ExpectedInvoiceDate_ID!$A$2:$B$12,2,FALSE)</f>
        <v>#N/A</v>
      </c>
      <c r="J148" s="1" t="e">
        <f>VLOOKUP(X148,[1]GrantOfRights_ID!$A$2:$B$7,2,FALSE)</f>
        <v>#N/A</v>
      </c>
      <c r="K148" s="1" t="str">
        <f>VLOOKUP(AE148,[1]Profile!$A$2:$B$8,2,FALSE)</f>
        <v>License</v>
      </c>
      <c r="M148" s="1" t="str">
        <f>VLOOKUP(Y148,[1]License_Method_ID!$A$2:$B$13,2,FALSE)</f>
        <v>no technical license protection</v>
      </c>
      <c r="O148" s="1">
        <v>10</v>
      </c>
      <c r="P148" s="1">
        <v>50</v>
      </c>
      <c r="Q148" s="1" t="str">
        <f>VLOOKUP(AB148,[1]Operational_Profit_Type_ID!$A$2:$B$3,2,FALSE)</f>
        <v>Fix rate</v>
      </c>
      <c r="R148" s="1" t="s">
        <v>55</v>
      </c>
      <c r="T148" s="1" t="str">
        <f>VLOOKUP(AD148,[1]UpdateRightID!$A$2:$B$4,2,FALSE)</f>
        <v>none</v>
      </c>
      <c r="U148" s="1" t="s">
        <v>48</v>
      </c>
      <c r="Y148" s="1">
        <v>0</v>
      </c>
      <c r="AB148" s="1">
        <v>1</v>
      </c>
      <c r="AD148" s="1">
        <v>0</v>
      </c>
      <c r="AE148" s="1">
        <v>1</v>
      </c>
    </row>
    <row r="149" spans="1:31" ht="30">
      <c r="B149" s="1" t="s">
        <v>426</v>
      </c>
      <c r="C149" t="s">
        <v>427</v>
      </c>
      <c r="E149" s="1" t="e">
        <f>VLOOKUP(Z149,[1]LicenseDuration_ID!$A$2:$B$8,2,FALSE)</f>
        <v>#N/A</v>
      </c>
      <c r="F149" s="1" t="e">
        <f>VLOOKUP(AA149,[1]MaintenanceDuration_ID!$A$2:$B$5,2,FALSE)</f>
        <v>#N/A</v>
      </c>
      <c r="G149" s="1" t="e">
        <f>VLOOKUP(V149,[1]ExpectedDeliveryTime_ID!$A$2:$B$12,2,FALSE)</f>
        <v>#N/A</v>
      </c>
      <c r="H149" s="1" t="e">
        <f>VLOOKUP(AC149,[1]PaymentModel_ID!$A$2:$B$7,2,FALSE)</f>
        <v>#N/A</v>
      </c>
      <c r="I149" s="1" t="e">
        <f>VLOOKUP(W149,[1]ExpectedInvoiceDate_ID!$A$2:$B$12,2,FALSE)</f>
        <v>#N/A</v>
      </c>
      <c r="J149" s="1" t="e">
        <f>VLOOKUP(X149,[1]GrantOfRights_ID!$A$2:$B$7,2,FALSE)</f>
        <v>#N/A</v>
      </c>
      <c r="K149" s="1" t="str">
        <f>VLOOKUP(AE149,[1]Profile!$A$2:$B$8,2,FALSE)</f>
        <v>Integration Package</v>
      </c>
      <c r="M149" s="1" t="str">
        <f>VLOOKUP(Y149,[1]License_Method_ID!$A$2:$B$13,2,FALSE)</f>
        <v>no technical license protection</v>
      </c>
      <c r="O149" s="1">
        <v>10</v>
      </c>
      <c r="P149" s="1">
        <v>50</v>
      </c>
      <c r="Q149" s="1" t="str">
        <f>VLOOKUP(AB149,[1]Operational_Profit_Type_ID!$A$2:$B$3,2,FALSE)</f>
        <v>Fix rate</v>
      </c>
      <c r="R149" s="1" t="s">
        <v>55</v>
      </c>
      <c r="T149" s="1" t="str">
        <f>VLOOKUP(AD149,[1]UpdateRightID!$A$2:$B$4,2,FALSE)</f>
        <v>none</v>
      </c>
      <c r="U149" s="1" t="s">
        <v>48</v>
      </c>
      <c r="Y149" s="1">
        <v>0</v>
      </c>
      <c r="AB149" s="1">
        <v>1</v>
      </c>
      <c r="AD149" s="1">
        <v>0</v>
      </c>
      <c r="AE149" s="1">
        <v>2</v>
      </c>
    </row>
    <row r="150" spans="1:31" ht="240">
      <c r="B150" s="1" t="s">
        <v>428</v>
      </c>
      <c r="C150" t="s">
        <v>429</v>
      </c>
      <c r="D150" s="1" t="s">
        <v>430</v>
      </c>
      <c r="E150" s="1" t="e">
        <f>VLOOKUP(Z150,[1]LicenseDuration_ID!$A$2:$B$8,2,FALSE)</f>
        <v>#N/A</v>
      </c>
      <c r="F150" s="1" t="e">
        <f>VLOOKUP(AA150,[1]MaintenanceDuration_ID!$A$2:$B$5,2,FALSE)</f>
        <v>#N/A</v>
      </c>
      <c r="G150" s="1" t="e">
        <f>VLOOKUP(V150,[1]ExpectedDeliveryTime_ID!$A$2:$B$12,2,FALSE)</f>
        <v>#N/A</v>
      </c>
      <c r="H150" s="1" t="e">
        <f>VLOOKUP(AC150,[1]PaymentModel_ID!$A$2:$B$7,2,FALSE)</f>
        <v>#N/A</v>
      </c>
      <c r="I150" s="1" t="e">
        <f>VLOOKUP(W150,[1]ExpectedInvoiceDate_ID!$A$2:$B$12,2,FALSE)</f>
        <v>#N/A</v>
      </c>
      <c r="J150" s="1" t="e">
        <f>VLOOKUP(X150,[1]GrantOfRights_ID!$A$2:$B$7,2,FALSE)</f>
        <v>#N/A</v>
      </c>
      <c r="K150" s="1" t="str">
        <f>VLOOKUP(AE150,[1]Profile!$A$2:$B$8,2,FALSE)</f>
        <v>License</v>
      </c>
      <c r="M150" s="1" t="str">
        <f>VLOOKUP(Y150,[1]License_Method_ID!$A$2:$B$13,2,FALSE)</f>
        <v>no technical license protection</v>
      </c>
      <c r="O150" s="1">
        <v>10</v>
      </c>
      <c r="P150" s="1">
        <v>50</v>
      </c>
      <c r="Q150" s="1" t="str">
        <f>VLOOKUP(AB150,[1]Operational_Profit_Type_ID!$A$2:$B$3,2,FALSE)</f>
        <v>Fix rate</v>
      </c>
      <c r="R150" s="1" t="s">
        <v>55</v>
      </c>
      <c r="T150" s="1" t="str">
        <f>VLOOKUP(AD150,[1]UpdateRightID!$A$2:$B$4,2,FALSE)</f>
        <v>none</v>
      </c>
      <c r="U150" s="1" t="s">
        <v>48</v>
      </c>
      <c r="Y150" s="1">
        <v>0</v>
      </c>
      <c r="AB150" s="1">
        <v>1</v>
      </c>
      <c r="AD150" s="1">
        <v>0</v>
      </c>
      <c r="AE150" s="1">
        <v>1</v>
      </c>
    </row>
    <row r="151" spans="1:31" ht="75">
      <c r="B151" s="1" t="s">
        <v>431</v>
      </c>
      <c r="C151" t="s">
        <v>432</v>
      </c>
      <c r="D151" s="1" t="s">
        <v>433</v>
      </c>
      <c r="E151" s="1" t="e">
        <f>VLOOKUP(Z151,[1]LicenseDuration_ID!$A$2:$B$8,2,FALSE)</f>
        <v>#N/A</v>
      </c>
      <c r="F151" s="1" t="e">
        <f>VLOOKUP(AA151,[1]MaintenanceDuration_ID!$A$2:$B$5,2,FALSE)</f>
        <v>#N/A</v>
      </c>
      <c r="G151" s="1" t="e">
        <f>VLOOKUP(V151,[1]ExpectedDeliveryTime_ID!$A$2:$B$12,2,FALSE)</f>
        <v>#N/A</v>
      </c>
      <c r="H151" s="1" t="e">
        <f>VLOOKUP(AC151,[1]PaymentModel_ID!$A$2:$B$7,2,FALSE)</f>
        <v>#N/A</v>
      </c>
      <c r="I151" s="1" t="e">
        <f>VLOOKUP(W151,[1]ExpectedInvoiceDate_ID!$A$2:$B$12,2,FALSE)</f>
        <v>#N/A</v>
      </c>
      <c r="J151" s="1" t="e">
        <f>VLOOKUP(X151,[1]GrantOfRights_ID!$A$2:$B$7,2,FALSE)</f>
        <v>#N/A</v>
      </c>
      <c r="K151" s="1" t="str">
        <f>VLOOKUP(AE151,[1]Profile!$A$2:$B$8,2,FALSE)</f>
        <v>Product related service without profile</v>
      </c>
      <c r="M151" s="1" t="str">
        <f>VLOOKUP(Y151,[1]License_Method_ID!$A$2:$B$13,2,FALSE)</f>
        <v>no technical license protection</v>
      </c>
      <c r="O151" s="1">
        <v>10</v>
      </c>
      <c r="Q151" s="1" t="str">
        <f>VLOOKUP(AB151,[1]Operational_Profit_Type_ID!$A$2:$B$3,2,FALSE)</f>
        <v>Calculated</v>
      </c>
      <c r="R151" s="1" t="s">
        <v>55</v>
      </c>
      <c r="T151" s="1" t="str">
        <f>VLOOKUP(AD151,[1]UpdateRightID!$A$2:$B$4,2,FALSE)</f>
        <v>none</v>
      </c>
      <c r="U151" s="1" t="s">
        <v>48</v>
      </c>
      <c r="Y151" s="1">
        <v>0</v>
      </c>
      <c r="AB151" s="1">
        <v>2</v>
      </c>
      <c r="AD151" s="1">
        <v>0</v>
      </c>
      <c r="AE151" s="1">
        <v>0</v>
      </c>
    </row>
    <row r="152" spans="1:31" ht="75">
      <c r="B152" s="1" t="s">
        <v>434</v>
      </c>
      <c r="C152" t="s">
        <v>435</v>
      </c>
      <c r="D152" s="1" t="s">
        <v>436</v>
      </c>
      <c r="E152" s="1" t="e">
        <f>VLOOKUP(Z152,[1]LicenseDuration_ID!$A$2:$B$8,2,FALSE)</f>
        <v>#N/A</v>
      </c>
      <c r="F152" s="1" t="e">
        <f>VLOOKUP(AA152,[1]MaintenanceDuration_ID!$A$2:$B$5,2,FALSE)</f>
        <v>#N/A</v>
      </c>
      <c r="G152" s="1" t="e">
        <f>VLOOKUP(V152,[1]ExpectedDeliveryTime_ID!$A$2:$B$12,2,FALSE)</f>
        <v>#N/A</v>
      </c>
      <c r="H152" s="1" t="e">
        <f>VLOOKUP(AC152,[1]PaymentModel_ID!$A$2:$B$7,2,FALSE)</f>
        <v>#N/A</v>
      </c>
      <c r="I152" s="1" t="e">
        <f>VLOOKUP(W152,[1]ExpectedInvoiceDate_ID!$A$2:$B$12,2,FALSE)</f>
        <v>#N/A</v>
      </c>
      <c r="J152" s="1" t="e">
        <f>VLOOKUP(X152,[1]GrantOfRights_ID!$A$2:$B$7,2,FALSE)</f>
        <v>#N/A</v>
      </c>
      <c r="K152" s="1" t="str">
        <f>VLOOKUP(AE152,[1]Profile!$A$2:$B$8,2,FALSE)</f>
        <v>Product related service without profile</v>
      </c>
      <c r="M152" s="1" t="str">
        <f>VLOOKUP(Y152,[1]License_Method_ID!$A$2:$B$13,2,FALSE)</f>
        <v>no technical license protection</v>
      </c>
      <c r="O152" s="1">
        <v>10</v>
      </c>
      <c r="Q152" s="1" t="str">
        <f>VLOOKUP(AB152,[1]Operational_Profit_Type_ID!$A$2:$B$3,2,FALSE)</f>
        <v>Calculated</v>
      </c>
      <c r="R152" s="1" t="s">
        <v>55</v>
      </c>
      <c r="T152" s="1" t="str">
        <f>VLOOKUP(AD152,[1]UpdateRightID!$A$2:$B$4,2,FALSE)</f>
        <v>none</v>
      </c>
      <c r="U152" s="1" t="s">
        <v>48</v>
      </c>
      <c r="Y152" s="1">
        <v>0</v>
      </c>
      <c r="AB152" s="1">
        <v>2</v>
      </c>
      <c r="AD152" s="1">
        <v>0</v>
      </c>
      <c r="AE152" s="1">
        <v>0</v>
      </c>
    </row>
    <row r="153" spans="1:31" ht="75">
      <c r="B153" s="1" t="s">
        <v>437</v>
      </c>
      <c r="C153" t="s">
        <v>438</v>
      </c>
      <c r="D153" s="1" t="s">
        <v>439</v>
      </c>
      <c r="E153" s="1" t="e">
        <f>VLOOKUP(Z153,[1]LicenseDuration_ID!$A$2:$B$8,2,FALSE)</f>
        <v>#N/A</v>
      </c>
      <c r="F153" s="1" t="e">
        <f>VLOOKUP(AA153,[1]MaintenanceDuration_ID!$A$2:$B$5,2,FALSE)</f>
        <v>#N/A</v>
      </c>
      <c r="G153" s="1" t="e">
        <f>VLOOKUP(V153,[1]ExpectedDeliveryTime_ID!$A$2:$B$12,2,FALSE)</f>
        <v>#N/A</v>
      </c>
      <c r="H153" s="1" t="e">
        <f>VLOOKUP(AC153,[1]PaymentModel_ID!$A$2:$B$7,2,FALSE)</f>
        <v>#N/A</v>
      </c>
      <c r="I153" s="1" t="e">
        <f>VLOOKUP(W153,[1]ExpectedInvoiceDate_ID!$A$2:$B$12,2,FALSE)</f>
        <v>#N/A</v>
      </c>
      <c r="J153" s="1" t="e">
        <f>VLOOKUP(X153,[1]GrantOfRights_ID!$A$2:$B$7,2,FALSE)</f>
        <v>#N/A</v>
      </c>
      <c r="K153" s="1" t="str">
        <f>VLOOKUP(AE153,[1]Profile!$A$2:$B$8,2,FALSE)</f>
        <v>Product related service without profile</v>
      </c>
      <c r="M153" s="1" t="str">
        <f>VLOOKUP(Y153,[1]License_Method_ID!$A$2:$B$13,2,FALSE)</f>
        <v>no technical license protection</v>
      </c>
      <c r="O153" s="1">
        <v>10</v>
      </c>
      <c r="Q153" s="1" t="str">
        <f>VLOOKUP(AB153,[1]Operational_Profit_Type_ID!$A$2:$B$3,2,FALSE)</f>
        <v>Calculated</v>
      </c>
      <c r="R153" s="1" t="s">
        <v>55</v>
      </c>
      <c r="T153" s="1" t="str">
        <f>VLOOKUP(AD153,[1]UpdateRightID!$A$2:$B$4,2,FALSE)</f>
        <v>none</v>
      </c>
      <c r="U153" s="1" t="s">
        <v>48</v>
      </c>
      <c r="Y153" s="1">
        <v>0</v>
      </c>
      <c r="AB153" s="1">
        <v>2</v>
      </c>
      <c r="AD153" s="1">
        <v>0</v>
      </c>
      <c r="AE153" s="1">
        <v>0</v>
      </c>
    </row>
    <row r="154" spans="1:31" ht="75">
      <c r="B154" s="1" t="s">
        <v>440</v>
      </c>
      <c r="C154" t="s">
        <v>441</v>
      </c>
      <c r="D154" s="1" t="s">
        <v>439</v>
      </c>
      <c r="E154" s="1" t="e">
        <f>VLOOKUP(Z154,[1]LicenseDuration_ID!$A$2:$B$8,2,FALSE)</f>
        <v>#N/A</v>
      </c>
      <c r="F154" s="1" t="e">
        <f>VLOOKUP(AA154,[1]MaintenanceDuration_ID!$A$2:$B$5,2,FALSE)</f>
        <v>#N/A</v>
      </c>
      <c r="G154" s="1" t="e">
        <f>VLOOKUP(V154,[1]ExpectedDeliveryTime_ID!$A$2:$B$12,2,FALSE)</f>
        <v>#N/A</v>
      </c>
      <c r="H154" s="1" t="e">
        <f>VLOOKUP(AC154,[1]PaymentModel_ID!$A$2:$B$7,2,FALSE)</f>
        <v>#N/A</v>
      </c>
      <c r="I154" s="1" t="e">
        <f>VLOOKUP(W154,[1]ExpectedInvoiceDate_ID!$A$2:$B$12,2,FALSE)</f>
        <v>#N/A</v>
      </c>
      <c r="J154" s="1" t="e">
        <f>VLOOKUP(X154,[1]GrantOfRights_ID!$A$2:$B$7,2,FALSE)</f>
        <v>#N/A</v>
      </c>
      <c r="K154" s="1" t="str">
        <f>VLOOKUP(AE154,[1]Profile!$A$2:$B$8,2,FALSE)</f>
        <v>Product related service without profile</v>
      </c>
      <c r="M154" s="1" t="str">
        <f>VLOOKUP(Y154,[1]License_Method_ID!$A$2:$B$13,2,FALSE)</f>
        <v>no technical license protection</v>
      </c>
      <c r="O154" s="1">
        <v>10</v>
      </c>
      <c r="Q154" s="1" t="str">
        <f>VLOOKUP(AB154,[1]Operational_Profit_Type_ID!$A$2:$B$3,2,FALSE)</f>
        <v>Calculated</v>
      </c>
      <c r="R154" s="1" t="s">
        <v>55</v>
      </c>
      <c r="T154" s="1" t="str">
        <f>VLOOKUP(AD154,[1]UpdateRightID!$A$2:$B$4,2,FALSE)</f>
        <v>none</v>
      </c>
      <c r="U154" s="1" t="s">
        <v>48</v>
      </c>
      <c r="Y154" s="1">
        <v>0</v>
      </c>
      <c r="AB154" s="1">
        <v>2</v>
      </c>
      <c r="AD154" s="1">
        <v>0</v>
      </c>
      <c r="AE154" s="1">
        <v>0</v>
      </c>
    </row>
    <row r="155" spans="1:31">
      <c r="B155" s="1" t="s">
        <v>442</v>
      </c>
      <c r="C155" t="s">
        <v>443</v>
      </c>
      <c r="E155" s="1" t="e">
        <f>VLOOKUP(Z155,[1]LicenseDuration_ID!$A$2:$B$8,2,FALSE)</f>
        <v>#N/A</v>
      </c>
      <c r="F155" s="1" t="e">
        <f>VLOOKUP(AA155,[1]MaintenanceDuration_ID!$A$2:$B$5,2,FALSE)</f>
        <v>#N/A</v>
      </c>
      <c r="G155" s="1" t="e">
        <f>VLOOKUP(V155,[1]ExpectedDeliveryTime_ID!$A$2:$B$12,2,FALSE)</f>
        <v>#N/A</v>
      </c>
      <c r="H155" s="1" t="e">
        <f>VLOOKUP(AC155,[1]PaymentModel_ID!$A$2:$B$7,2,FALSE)</f>
        <v>#N/A</v>
      </c>
      <c r="I155" s="1" t="e">
        <f>VLOOKUP(W155,[1]ExpectedInvoiceDate_ID!$A$2:$B$12,2,FALSE)</f>
        <v>#N/A</v>
      </c>
      <c r="J155" s="1" t="e">
        <f>VLOOKUP(X155,[1]GrantOfRights_ID!$A$2:$B$7,2,FALSE)</f>
        <v>#N/A</v>
      </c>
      <c r="K155" s="1" t="str">
        <f>VLOOKUP(AE155,[1]Profile!$A$2:$B$8,2,FALSE)</f>
        <v>Training</v>
      </c>
      <c r="M155" s="1" t="str">
        <f>VLOOKUP(Y155,[1]License_Method_ID!$A$2:$B$13,2,FALSE)</f>
        <v>no technical license protection</v>
      </c>
      <c r="N155" s="1" t="s">
        <v>47</v>
      </c>
      <c r="O155" s="1">
        <v>10</v>
      </c>
      <c r="Q155" s="1" t="str">
        <f>VLOOKUP(AB155,[1]Operational_Profit_Type_ID!$A$2:$B$3,2,FALSE)</f>
        <v>Calculated</v>
      </c>
      <c r="R155" s="1" t="s">
        <v>55</v>
      </c>
      <c r="T155" s="1" t="str">
        <f>VLOOKUP(AD155,[1]UpdateRightID!$A$2:$B$4,2,FALSE)</f>
        <v>none</v>
      </c>
      <c r="U155" s="1" t="s">
        <v>48</v>
      </c>
      <c r="Y155" s="1">
        <v>0</v>
      </c>
      <c r="AB155" s="1">
        <v>2</v>
      </c>
      <c r="AD155" s="1">
        <v>0</v>
      </c>
      <c r="AE155" s="1">
        <v>5</v>
      </c>
    </row>
    <row r="156" spans="1:31" ht="75">
      <c r="B156" s="1" t="s">
        <v>444</v>
      </c>
      <c r="C156" t="s">
        <v>445</v>
      </c>
      <c r="E156" s="1" t="e">
        <f>VLOOKUP(Z156,[1]LicenseDuration_ID!$A$2:$B$8,2,FALSE)</f>
        <v>#N/A</v>
      </c>
      <c r="F156" s="1" t="e">
        <f>VLOOKUP(AA156,[1]MaintenanceDuration_ID!$A$2:$B$5,2,FALSE)</f>
        <v>#N/A</v>
      </c>
      <c r="G156" s="1" t="e">
        <f>VLOOKUP(V156,[1]ExpectedDeliveryTime_ID!$A$2:$B$12,2,FALSE)</f>
        <v>#N/A</v>
      </c>
      <c r="H156" s="1" t="e">
        <f>VLOOKUP(AC156,[1]PaymentModel_ID!$A$2:$B$7,2,FALSE)</f>
        <v>#N/A</v>
      </c>
      <c r="I156" s="1" t="e">
        <f>VLOOKUP(W156,[1]ExpectedInvoiceDate_ID!$A$2:$B$12,2,FALSE)</f>
        <v>#N/A</v>
      </c>
      <c r="J156" s="1" t="e">
        <f>VLOOKUP(X156,[1]GrantOfRights_ID!$A$2:$B$7,2,FALSE)</f>
        <v>#N/A</v>
      </c>
      <c r="K156" s="1" t="str">
        <f>VLOOKUP(AE156,[1]Profile!$A$2:$B$8,2,FALSE)</f>
        <v>Product related service without profile</v>
      </c>
      <c r="M156" s="1" t="str">
        <f>VLOOKUP(Y156,[1]License_Method_ID!$A$2:$B$13,2,FALSE)</f>
        <v>no technical license protection</v>
      </c>
      <c r="N156" s="1" t="s">
        <v>47</v>
      </c>
      <c r="O156" s="1">
        <v>10</v>
      </c>
      <c r="Q156" s="1" t="str">
        <f>VLOOKUP(AB156,[1]Operational_Profit_Type_ID!$A$2:$B$3,2,FALSE)</f>
        <v>Calculated</v>
      </c>
      <c r="R156" s="1" t="s">
        <v>55</v>
      </c>
      <c r="S156" s="1">
        <v>10</v>
      </c>
      <c r="T156" s="1" t="str">
        <f>VLOOKUP(AD156,[1]UpdateRightID!$A$2:$B$4,2,FALSE)</f>
        <v>none</v>
      </c>
      <c r="U156" s="1" t="s">
        <v>48</v>
      </c>
      <c r="Y156" s="1">
        <v>0</v>
      </c>
      <c r="AB156" s="1">
        <v>2</v>
      </c>
      <c r="AD156" s="1">
        <v>0</v>
      </c>
      <c r="AE156" s="1">
        <v>0</v>
      </c>
    </row>
    <row r="157" spans="1:31" ht="90">
      <c r="B157" s="1" t="s">
        <v>446</v>
      </c>
      <c r="C157" t="s">
        <v>447</v>
      </c>
      <c r="D157" s="1" t="s">
        <v>448</v>
      </c>
      <c r="E157" s="1" t="e">
        <f>VLOOKUP(Z157,[1]LicenseDuration_ID!$A$2:$B$8,2,FALSE)</f>
        <v>#N/A</v>
      </c>
      <c r="F157" s="1" t="e">
        <f>VLOOKUP(AA157,[1]MaintenanceDuration_ID!$A$2:$B$5,2,FALSE)</f>
        <v>#N/A</v>
      </c>
      <c r="G157" s="1" t="e">
        <f>VLOOKUP(V157,[1]ExpectedDeliveryTime_ID!$A$2:$B$12,2,FALSE)</f>
        <v>#N/A</v>
      </c>
      <c r="H157" s="1" t="e">
        <f>VLOOKUP(AC157,[1]PaymentModel_ID!$A$2:$B$7,2,FALSE)</f>
        <v>#N/A</v>
      </c>
      <c r="I157" s="1" t="e">
        <f>VLOOKUP(W157,[1]ExpectedInvoiceDate_ID!$A$2:$B$12,2,FALSE)</f>
        <v>#N/A</v>
      </c>
      <c r="J157" s="1" t="e">
        <f>VLOOKUP(X157,[1]GrantOfRights_ID!$A$2:$B$7,2,FALSE)</f>
        <v>#N/A</v>
      </c>
      <c r="K157" s="1" t="str">
        <f>VLOOKUP(AE157,[1]Profile!$A$2:$B$8,2,FALSE)</f>
        <v>License</v>
      </c>
      <c r="M157" s="1" t="str">
        <f>VLOOKUP(Y157,[1]License_Method_ID!$A$2:$B$13,2,FALSE)</f>
        <v>no technical license protection</v>
      </c>
      <c r="N157" s="1" t="s">
        <v>47</v>
      </c>
      <c r="O157" s="1">
        <v>10</v>
      </c>
      <c r="P157" s="1">
        <v>50</v>
      </c>
      <c r="Q157" s="1" t="str">
        <f>VLOOKUP(AB157,[1]Operational_Profit_Type_ID!$A$2:$B$3,2,FALSE)</f>
        <v>Fix rate</v>
      </c>
      <c r="R157" s="1" t="s">
        <v>55</v>
      </c>
      <c r="T157" s="1" t="str">
        <f>VLOOKUP(AD157,[1]UpdateRightID!$A$2:$B$4,2,FALSE)</f>
        <v>none</v>
      </c>
      <c r="U157" s="1" t="s">
        <v>48</v>
      </c>
      <c r="Y157" s="1">
        <v>0</v>
      </c>
      <c r="AB157" s="1">
        <v>1</v>
      </c>
      <c r="AD157" s="1">
        <v>0</v>
      </c>
      <c r="AE157" s="1">
        <v>1</v>
      </c>
    </row>
    <row r="158" spans="1:31">
      <c r="B158" s="1" t="s">
        <v>449</v>
      </c>
      <c r="C158" t="s">
        <v>450</v>
      </c>
      <c r="E158" s="1" t="e">
        <f>VLOOKUP(Z158,[1]LicenseDuration_ID!$A$2:$B$8,2,FALSE)</f>
        <v>#N/A</v>
      </c>
      <c r="F158" s="1" t="e">
        <f>VLOOKUP(AA158,[1]MaintenanceDuration_ID!$A$2:$B$5,2,FALSE)</f>
        <v>#N/A</v>
      </c>
      <c r="G158" s="1" t="e">
        <f>VLOOKUP(V158,[1]ExpectedDeliveryTime_ID!$A$2:$B$12,2,FALSE)</f>
        <v>#N/A</v>
      </c>
      <c r="H158" s="1" t="e">
        <f>VLOOKUP(AC158,[1]PaymentModel_ID!$A$2:$B$7,2,FALSE)</f>
        <v>#N/A</v>
      </c>
      <c r="I158" s="1" t="e">
        <f>VLOOKUP(W158,[1]ExpectedInvoiceDate_ID!$A$2:$B$12,2,FALSE)</f>
        <v>#N/A</v>
      </c>
      <c r="J158" s="1" t="e">
        <f>VLOOKUP(X158,[1]GrantOfRights_ID!$A$2:$B$7,2,FALSE)</f>
        <v>#N/A</v>
      </c>
      <c r="K158" s="1" t="str">
        <f>VLOOKUP(AE158,[1]Profile!$A$2:$B$8,2,FALSE)</f>
        <v>License</v>
      </c>
      <c r="M158" s="1" t="str">
        <f>VLOOKUP(Y158,[1]License_Method_ID!$A$2:$B$13,2,FALSE)</f>
        <v>no technical license protection</v>
      </c>
      <c r="N158" s="1" t="s">
        <v>47</v>
      </c>
      <c r="O158" s="1">
        <v>10</v>
      </c>
      <c r="P158" s="1">
        <v>50</v>
      </c>
      <c r="Q158" s="1" t="str">
        <f>VLOOKUP(AB158,[1]Operational_Profit_Type_ID!$A$2:$B$3,2,FALSE)</f>
        <v>Fix rate</v>
      </c>
      <c r="R158" s="1" t="s">
        <v>55</v>
      </c>
      <c r="T158" s="1" t="str">
        <f>VLOOKUP(AD158,[1]UpdateRightID!$A$2:$B$4,2,FALSE)</f>
        <v>none</v>
      </c>
      <c r="U158" s="1" t="s">
        <v>48</v>
      </c>
      <c r="Y158" s="1">
        <v>0</v>
      </c>
      <c r="AB158" s="1">
        <v>1</v>
      </c>
      <c r="AD158" s="1">
        <v>0</v>
      </c>
      <c r="AE158" s="1">
        <v>1</v>
      </c>
    </row>
    <row r="159" spans="1:31">
      <c r="B159" s="1" t="s">
        <v>451</v>
      </c>
      <c r="C159" t="s">
        <v>452</v>
      </c>
      <c r="E159" s="1" t="e">
        <f>VLOOKUP(Z159,[1]LicenseDuration_ID!$A$2:$B$8,2,FALSE)</f>
        <v>#N/A</v>
      </c>
      <c r="F159" s="1" t="e">
        <f>VLOOKUP(AA159,[1]MaintenanceDuration_ID!$A$2:$B$5,2,FALSE)</f>
        <v>#N/A</v>
      </c>
      <c r="G159" s="1" t="e">
        <f>VLOOKUP(V159,[1]ExpectedDeliveryTime_ID!$A$2:$B$12,2,FALSE)</f>
        <v>#N/A</v>
      </c>
      <c r="H159" s="1" t="e">
        <f>VLOOKUP(AC159,[1]PaymentModel_ID!$A$2:$B$7,2,FALSE)</f>
        <v>#N/A</v>
      </c>
      <c r="I159" s="1" t="e">
        <f>VLOOKUP(W159,[1]ExpectedInvoiceDate_ID!$A$2:$B$12,2,FALSE)</f>
        <v>#N/A</v>
      </c>
      <c r="J159" s="1" t="e">
        <f>VLOOKUP(X159,[1]GrantOfRights_ID!$A$2:$B$7,2,FALSE)</f>
        <v>#N/A</v>
      </c>
      <c r="K159" s="1" t="str">
        <f>VLOOKUP(AE159,[1]Profile!$A$2:$B$8,2,FALSE)</f>
        <v>License</v>
      </c>
      <c r="M159" s="1" t="str">
        <f>VLOOKUP(Y159,[1]License_Method_ID!$A$2:$B$13,2,FALSE)</f>
        <v>no technical license protection</v>
      </c>
      <c r="N159" s="1" t="s">
        <v>47</v>
      </c>
      <c r="O159" s="1">
        <v>10</v>
      </c>
      <c r="P159" s="1">
        <v>50</v>
      </c>
      <c r="Q159" s="1" t="str">
        <f>VLOOKUP(AB159,[1]Operational_Profit_Type_ID!$A$2:$B$3,2,FALSE)</f>
        <v>Fix rate</v>
      </c>
      <c r="R159" s="1" t="s">
        <v>55</v>
      </c>
      <c r="T159" s="1" t="str">
        <f>VLOOKUP(AD159,[1]UpdateRightID!$A$2:$B$4,2,FALSE)</f>
        <v>none</v>
      </c>
      <c r="U159" s="1" t="s">
        <v>48</v>
      </c>
      <c r="Y159" s="1">
        <v>0</v>
      </c>
      <c r="AB159" s="1">
        <v>1</v>
      </c>
      <c r="AD159" s="1">
        <v>0</v>
      </c>
      <c r="AE159" s="1">
        <v>1</v>
      </c>
    </row>
    <row r="160" spans="1:31" ht="30">
      <c r="B160" s="1" t="s">
        <v>453</v>
      </c>
      <c r="C160" t="s">
        <v>454</v>
      </c>
      <c r="E160" s="1" t="e">
        <f>VLOOKUP(Z160,[1]LicenseDuration_ID!$A$2:$B$8,2,FALSE)</f>
        <v>#N/A</v>
      </c>
      <c r="F160" s="1" t="e">
        <f>VLOOKUP(AA160,[1]MaintenanceDuration_ID!$A$2:$B$5,2,FALSE)</f>
        <v>#N/A</v>
      </c>
      <c r="G160" s="1" t="e">
        <f>VLOOKUP(V160,[1]ExpectedDeliveryTime_ID!$A$2:$B$12,2,FALSE)</f>
        <v>#N/A</v>
      </c>
      <c r="H160" s="1" t="e">
        <f>VLOOKUP(AC160,[1]PaymentModel_ID!$A$2:$B$7,2,FALSE)</f>
        <v>#N/A</v>
      </c>
      <c r="I160" s="1" t="e">
        <f>VLOOKUP(W160,[1]ExpectedInvoiceDate_ID!$A$2:$B$12,2,FALSE)</f>
        <v>#N/A</v>
      </c>
      <c r="J160" s="1" t="e">
        <f>VLOOKUP(X160,[1]GrantOfRights_ID!$A$2:$B$7,2,FALSE)</f>
        <v>#N/A</v>
      </c>
      <c r="K160" s="1" t="str">
        <f>VLOOKUP(AE160,[1]Profile!$A$2:$B$8,2,FALSE)</f>
        <v>License</v>
      </c>
      <c r="M160" s="1" t="str">
        <f>VLOOKUP(Y160,[1]License_Method_ID!$A$2:$B$13,2,FALSE)</f>
        <v>no technical license protection</v>
      </c>
      <c r="N160" s="1" t="s">
        <v>47</v>
      </c>
      <c r="O160" s="1">
        <v>10</v>
      </c>
      <c r="P160" s="1">
        <v>50</v>
      </c>
      <c r="Q160" s="1" t="str">
        <f>VLOOKUP(AB160,[1]Operational_Profit_Type_ID!$A$2:$B$3,2,FALSE)</f>
        <v>Fix rate</v>
      </c>
      <c r="R160" s="1" t="s">
        <v>48</v>
      </c>
      <c r="S160" s="1">
        <v>100</v>
      </c>
      <c r="T160" s="1" t="str">
        <f>VLOOKUP(AD160,[1]UpdateRightID!$A$2:$B$4,2,FALSE)</f>
        <v>UpdateRightByConfiguration</v>
      </c>
      <c r="U160" s="1" t="s">
        <v>48</v>
      </c>
      <c r="Y160" s="1">
        <v>0</v>
      </c>
      <c r="AB160" s="1">
        <v>1</v>
      </c>
      <c r="AD160" s="1">
        <v>1</v>
      </c>
      <c r="AE160" s="1">
        <v>1</v>
      </c>
    </row>
    <row r="161" spans="2:31">
      <c r="B161" s="1" t="s">
        <v>455</v>
      </c>
      <c r="C161" t="s">
        <v>456</v>
      </c>
      <c r="E161" s="1" t="e">
        <f>VLOOKUP(Z161,[1]LicenseDuration_ID!$A$2:$B$8,2,FALSE)</f>
        <v>#N/A</v>
      </c>
      <c r="F161" s="1" t="e">
        <f>VLOOKUP(AA161,[1]MaintenanceDuration_ID!$A$2:$B$5,2,FALSE)</f>
        <v>#N/A</v>
      </c>
      <c r="G161" s="1" t="e">
        <f>VLOOKUP(V161,[1]ExpectedDeliveryTime_ID!$A$2:$B$12,2,FALSE)</f>
        <v>#N/A</v>
      </c>
      <c r="H161" s="1" t="e">
        <f>VLOOKUP(AC161,[1]PaymentModel_ID!$A$2:$B$7,2,FALSE)</f>
        <v>#N/A</v>
      </c>
      <c r="I161" s="1" t="e">
        <f>VLOOKUP(W161,[1]ExpectedInvoiceDate_ID!$A$2:$B$12,2,FALSE)</f>
        <v>#N/A</v>
      </c>
      <c r="J161" s="1" t="e">
        <f>VLOOKUP(X161,[1]GrantOfRights_ID!$A$2:$B$7,2,FALSE)</f>
        <v>#N/A</v>
      </c>
      <c r="K161" s="1" t="str">
        <f>VLOOKUP(AE161,[1]Profile!$A$2:$B$8,2,FALSE)</f>
        <v>Training</v>
      </c>
      <c r="M161" s="1" t="str">
        <f>VLOOKUP(Y161,[1]License_Method_ID!$A$2:$B$13,2,FALSE)</f>
        <v>no technical license protection</v>
      </c>
      <c r="N161" s="1" t="s">
        <v>47</v>
      </c>
      <c r="O161" s="1">
        <v>10</v>
      </c>
      <c r="Q161" s="1" t="str">
        <f>VLOOKUP(AB161,[1]Operational_Profit_Type_ID!$A$2:$B$3,2,FALSE)</f>
        <v>Calculated</v>
      </c>
      <c r="R161" s="1" t="s">
        <v>55</v>
      </c>
      <c r="T161" s="1" t="str">
        <f>VLOOKUP(AD161,[1]UpdateRightID!$A$2:$B$4,2,FALSE)</f>
        <v>none</v>
      </c>
      <c r="U161" s="1" t="s">
        <v>48</v>
      </c>
      <c r="Y161" s="1">
        <v>0</v>
      </c>
      <c r="AB161" s="1">
        <v>2</v>
      </c>
      <c r="AD161" s="1">
        <v>0</v>
      </c>
      <c r="AE161" s="1">
        <v>5</v>
      </c>
    </row>
    <row r="162" spans="2:31" ht="75">
      <c r="B162" s="1" t="s">
        <v>457</v>
      </c>
      <c r="C162" t="s">
        <v>458</v>
      </c>
      <c r="E162" s="1" t="e">
        <f>VLOOKUP(Z162,[1]LicenseDuration_ID!$A$2:$B$8,2,FALSE)</f>
        <v>#N/A</v>
      </c>
      <c r="F162" s="1" t="e">
        <f>VLOOKUP(AA162,[1]MaintenanceDuration_ID!$A$2:$B$5,2,FALSE)</f>
        <v>#N/A</v>
      </c>
      <c r="G162" s="1" t="e">
        <f>VLOOKUP(V162,[1]ExpectedDeliveryTime_ID!$A$2:$B$12,2,FALSE)</f>
        <v>#N/A</v>
      </c>
      <c r="H162" s="1" t="e">
        <f>VLOOKUP(AC162,[1]PaymentModel_ID!$A$2:$B$7,2,FALSE)</f>
        <v>#N/A</v>
      </c>
      <c r="I162" s="1" t="e">
        <f>VLOOKUP(W162,[1]ExpectedInvoiceDate_ID!$A$2:$B$12,2,FALSE)</f>
        <v>#N/A</v>
      </c>
      <c r="J162" s="1" t="e">
        <f>VLOOKUP(X162,[1]GrantOfRights_ID!$A$2:$B$7,2,FALSE)</f>
        <v>#N/A</v>
      </c>
      <c r="K162" s="1" t="str">
        <f>VLOOKUP(AE162,[1]Profile!$A$2:$B$8,2,FALSE)</f>
        <v>Product related service without profile</v>
      </c>
      <c r="M162" s="1" t="str">
        <f>VLOOKUP(Y162,[1]License_Method_ID!$A$2:$B$13,2,FALSE)</f>
        <v>no technical license protection</v>
      </c>
      <c r="N162" s="1" t="s">
        <v>47</v>
      </c>
      <c r="O162" s="1">
        <v>10</v>
      </c>
      <c r="Q162" s="1" t="str">
        <f>VLOOKUP(AB162,[1]Operational_Profit_Type_ID!$A$2:$B$3,2,FALSE)</f>
        <v>Calculated</v>
      </c>
      <c r="R162" s="1" t="s">
        <v>55</v>
      </c>
      <c r="S162" s="1">
        <v>10</v>
      </c>
      <c r="T162" s="1" t="str">
        <f>VLOOKUP(AD162,[1]UpdateRightID!$A$2:$B$4,2,FALSE)</f>
        <v>none</v>
      </c>
      <c r="U162" s="1" t="s">
        <v>48</v>
      </c>
      <c r="Y162" s="1">
        <v>0</v>
      </c>
      <c r="AB162" s="1">
        <v>2</v>
      </c>
      <c r="AD162" s="1">
        <v>0</v>
      </c>
      <c r="AE162" s="1">
        <v>0</v>
      </c>
    </row>
    <row r="163" spans="2:31" ht="30">
      <c r="B163" s="1" t="s">
        <v>459</v>
      </c>
      <c r="C163" t="s">
        <v>460</v>
      </c>
      <c r="E163" s="1" t="e">
        <f>VLOOKUP(Z163,[1]LicenseDuration_ID!$A$2:$B$8,2,FALSE)</f>
        <v>#N/A</v>
      </c>
      <c r="F163" s="1" t="e">
        <f>VLOOKUP(AA163,[1]MaintenanceDuration_ID!$A$2:$B$5,2,FALSE)</f>
        <v>#N/A</v>
      </c>
      <c r="G163" s="1" t="e">
        <f>VLOOKUP(V163,[1]ExpectedDeliveryTime_ID!$A$2:$B$12,2,FALSE)</f>
        <v>#N/A</v>
      </c>
      <c r="H163" s="1" t="e">
        <f>VLOOKUP(AC163,[1]PaymentModel_ID!$A$2:$B$7,2,FALSE)</f>
        <v>#N/A</v>
      </c>
      <c r="I163" s="1" t="e">
        <f>VLOOKUP(W163,[1]ExpectedInvoiceDate_ID!$A$2:$B$12,2,FALSE)</f>
        <v>#N/A</v>
      </c>
      <c r="J163" s="1" t="e">
        <f>VLOOKUP(X163,[1]GrantOfRights_ID!$A$2:$B$7,2,FALSE)</f>
        <v>#N/A</v>
      </c>
      <c r="K163" s="1" t="str">
        <f>VLOOKUP(AE163,[1]Profile!$A$2:$B$8,2,FALSE)</f>
        <v>License</v>
      </c>
      <c r="M163" s="1" t="str">
        <f>VLOOKUP(Y163,[1]License_Method_ID!$A$2:$B$13,2,FALSE)</f>
        <v>no technical license protection</v>
      </c>
      <c r="N163" s="1" t="s">
        <v>47</v>
      </c>
      <c r="O163" s="1">
        <v>10</v>
      </c>
      <c r="P163" s="1">
        <v>50</v>
      </c>
      <c r="Q163" s="1" t="str">
        <f>VLOOKUP(AB163,[1]Operational_Profit_Type_ID!$A$2:$B$3,2,FALSE)</f>
        <v>Fix rate</v>
      </c>
      <c r="R163" s="1" t="s">
        <v>55</v>
      </c>
      <c r="T163" s="1" t="str">
        <f>VLOOKUP(AD163,[1]UpdateRightID!$A$2:$B$4,2,FALSE)</f>
        <v>UpdateRightByConfiguration</v>
      </c>
      <c r="U163" s="1" t="s">
        <v>48</v>
      </c>
      <c r="Y163" s="1">
        <v>0</v>
      </c>
      <c r="AB163" s="1">
        <v>1</v>
      </c>
      <c r="AD163" s="1">
        <v>1</v>
      </c>
      <c r="AE163" s="1">
        <v>1</v>
      </c>
    </row>
    <row r="164" spans="2:31" ht="90">
      <c r="B164" s="1" t="s">
        <v>461</v>
      </c>
      <c r="C164" t="s">
        <v>462</v>
      </c>
      <c r="D164" s="1" t="s">
        <v>463</v>
      </c>
      <c r="E164" s="1" t="e">
        <f>VLOOKUP(Z164,[1]LicenseDuration_ID!$A$2:$B$8,2,FALSE)</f>
        <v>#N/A</v>
      </c>
      <c r="F164" s="1" t="e">
        <f>VLOOKUP(AA164,[1]MaintenanceDuration_ID!$A$2:$B$5,2,FALSE)</f>
        <v>#N/A</v>
      </c>
      <c r="G164" s="1" t="e">
        <f>VLOOKUP(V164,[1]ExpectedDeliveryTime_ID!$A$2:$B$12,2,FALSE)</f>
        <v>#N/A</v>
      </c>
      <c r="H164" s="1" t="e">
        <f>VLOOKUP(AC164,[1]PaymentModel_ID!$A$2:$B$7,2,FALSE)</f>
        <v>#N/A</v>
      </c>
      <c r="I164" s="1" t="e">
        <f>VLOOKUP(W164,[1]ExpectedInvoiceDate_ID!$A$2:$B$12,2,FALSE)</f>
        <v>#N/A</v>
      </c>
      <c r="J164" s="1" t="e">
        <f>VLOOKUP(X164,[1]GrantOfRights_ID!$A$2:$B$7,2,FALSE)</f>
        <v>#N/A</v>
      </c>
      <c r="K164" s="1" t="str">
        <f>VLOOKUP(AE164,[1]Profile!$A$2:$B$8,2,FALSE)</f>
        <v>License</v>
      </c>
      <c r="M164" s="1" t="str">
        <f>VLOOKUP(Y164,[1]License_Method_ID!$A$2:$B$13,2,FALSE)</f>
        <v>no technical license protection</v>
      </c>
      <c r="N164" s="1" t="s">
        <v>47</v>
      </c>
      <c r="O164" s="1">
        <v>10</v>
      </c>
      <c r="P164" s="1">
        <v>50</v>
      </c>
      <c r="Q164" s="1" t="str">
        <f>VLOOKUP(AB164,[1]Operational_Profit_Type_ID!$A$2:$B$3,2,FALSE)</f>
        <v>Fix rate</v>
      </c>
      <c r="R164" s="1" t="s">
        <v>48</v>
      </c>
      <c r="S164" s="1">
        <v>3</v>
      </c>
      <c r="T164" s="1" t="str">
        <f>VLOOKUP(AD164,[1]UpdateRightID!$A$2:$B$4,2,FALSE)</f>
        <v>UpdateRightByConfiguration</v>
      </c>
      <c r="U164" s="1" t="s">
        <v>48</v>
      </c>
      <c r="Y164" s="1">
        <v>0</v>
      </c>
      <c r="AB164" s="1">
        <v>1</v>
      </c>
      <c r="AD164" s="1">
        <v>1</v>
      </c>
      <c r="AE164" s="1">
        <v>1</v>
      </c>
    </row>
    <row r="165" spans="2:31" ht="150">
      <c r="B165" s="1" t="s">
        <v>464</v>
      </c>
      <c r="C165" t="s">
        <v>465</v>
      </c>
      <c r="D165" s="1" t="s">
        <v>466</v>
      </c>
      <c r="E165" s="1" t="e">
        <f>VLOOKUP(Z165,[1]LicenseDuration_ID!$A$2:$B$8,2,FALSE)</f>
        <v>#N/A</v>
      </c>
      <c r="F165" s="1" t="e">
        <f>VLOOKUP(AA165,[1]MaintenanceDuration_ID!$A$2:$B$5,2,FALSE)</f>
        <v>#N/A</v>
      </c>
      <c r="G165" s="1" t="e">
        <f>VLOOKUP(V165,[1]ExpectedDeliveryTime_ID!$A$2:$B$12,2,FALSE)</f>
        <v>#N/A</v>
      </c>
      <c r="H165" s="1" t="e">
        <f>VLOOKUP(AC165,[1]PaymentModel_ID!$A$2:$B$7,2,FALSE)</f>
        <v>#N/A</v>
      </c>
      <c r="I165" s="1" t="e">
        <f>VLOOKUP(W165,[1]ExpectedInvoiceDate_ID!$A$2:$B$12,2,FALSE)</f>
        <v>#N/A</v>
      </c>
      <c r="J165" s="1" t="e">
        <f>VLOOKUP(X165,[1]GrantOfRights_ID!$A$2:$B$7,2,FALSE)</f>
        <v>#N/A</v>
      </c>
      <c r="K165" s="1" t="str">
        <f>VLOOKUP(AE165,[1]Profile!$A$2:$B$8,2,FALSE)</f>
        <v>License</v>
      </c>
      <c r="M165" s="1" t="str">
        <f>VLOOKUP(Y165,[1]License_Method_ID!$A$2:$B$13,2,FALSE)</f>
        <v>no technical license protection</v>
      </c>
      <c r="N165" s="1" t="s">
        <v>47</v>
      </c>
      <c r="O165" s="1">
        <v>10</v>
      </c>
      <c r="Q165" s="1" t="str">
        <f>VLOOKUP(AB165,[1]Operational_Profit_Type_ID!$A$2:$B$3,2,FALSE)</f>
        <v>Calculated</v>
      </c>
      <c r="R165" s="1" t="s">
        <v>48</v>
      </c>
      <c r="T165" s="1" t="str">
        <f>VLOOKUP(AD165,[1]UpdateRightID!$A$2:$B$4,2,FALSE)</f>
        <v>UpdateRightByConfiguration</v>
      </c>
      <c r="U165" s="1" t="s">
        <v>48</v>
      </c>
      <c r="Y165" s="1">
        <v>0</v>
      </c>
      <c r="AB165" s="1">
        <v>2</v>
      </c>
      <c r="AD165" s="1">
        <v>1</v>
      </c>
      <c r="AE165" s="1">
        <v>1</v>
      </c>
    </row>
    <row r="166" spans="2:31" ht="105">
      <c r="B166" s="1" t="s">
        <v>467</v>
      </c>
      <c r="C166" t="s">
        <v>468</v>
      </c>
      <c r="D166" s="1" t="s">
        <v>469</v>
      </c>
      <c r="E166" s="1" t="e">
        <f>VLOOKUP(Z166,[1]LicenseDuration_ID!$A$2:$B$8,2,FALSE)</f>
        <v>#N/A</v>
      </c>
      <c r="F166" s="1" t="e">
        <f>VLOOKUP(AA166,[1]MaintenanceDuration_ID!$A$2:$B$5,2,FALSE)</f>
        <v>#N/A</v>
      </c>
      <c r="G166" s="1" t="e">
        <f>VLOOKUP(V166,[1]ExpectedDeliveryTime_ID!$A$2:$B$12,2,FALSE)</f>
        <v>#N/A</v>
      </c>
      <c r="H166" s="1" t="e">
        <f>VLOOKUP(AC166,[1]PaymentModel_ID!$A$2:$B$7,2,FALSE)</f>
        <v>#N/A</v>
      </c>
      <c r="I166" s="1" t="e">
        <f>VLOOKUP(W166,[1]ExpectedInvoiceDate_ID!$A$2:$B$12,2,FALSE)</f>
        <v>#N/A</v>
      </c>
      <c r="J166" s="1" t="e">
        <f>VLOOKUP(X166,[1]GrantOfRights_ID!$A$2:$B$7,2,FALSE)</f>
        <v>#N/A</v>
      </c>
      <c r="K166" s="1" t="str">
        <f>VLOOKUP(AE166,[1]Profile!$A$2:$B$8,2,FALSE)</f>
        <v>License</v>
      </c>
      <c r="M166" s="1" t="str">
        <f>VLOOKUP(Y166,[1]License_Method_ID!$A$2:$B$13,2,FALSE)</f>
        <v>no technical license protection</v>
      </c>
      <c r="N166" s="1" t="s">
        <v>47</v>
      </c>
      <c r="O166" s="1">
        <v>10</v>
      </c>
      <c r="P166" s="1">
        <v>50</v>
      </c>
      <c r="Q166" s="1" t="str">
        <f>VLOOKUP(AB166,[1]Operational_Profit_Type_ID!$A$2:$B$3,2,FALSE)</f>
        <v>Fix rate</v>
      </c>
      <c r="R166" s="1" t="s">
        <v>48</v>
      </c>
      <c r="T166" s="1" t="str">
        <f>VLOOKUP(AD166,[1]UpdateRightID!$A$2:$B$4,2,FALSE)</f>
        <v>TotalAmountAsUpdateRight</v>
      </c>
      <c r="U166" s="1" t="s">
        <v>48</v>
      </c>
      <c r="Y166" s="1">
        <v>0</v>
      </c>
      <c r="AB166" s="1">
        <v>1</v>
      </c>
      <c r="AD166" s="1">
        <v>2</v>
      </c>
      <c r="AE166" s="1">
        <v>1</v>
      </c>
    </row>
    <row r="167" spans="2:31" ht="90">
      <c r="B167" s="1" t="s">
        <v>470</v>
      </c>
      <c r="C167" t="s">
        <v>471</v>
      </c>
      <c r="D167" s="1" t="s">
        <v>472</v>
      </c>
      <c r="E167" s="1" t="e">
        <f>VLOOKUP(Z167,[1]LicenseDuration_ID!$A$2:$B$8,2,FALSE)</f>
        <v>#N/A</v>
      </c>
      <c r="F167" s="1" t="e">
        <f>VLOOKUP(AA167,[1]MaintenanceDuration_ID!$A$2:$B$5,2,FALSE)</f>
        <v>#N/A</v>
      </c>
      <c r="G167" s="1" t="e">
        <f>VLOOKUP(V167,[1]ExpectedDeliveryTime_ID!$A$2:$B$12,2,FALSE)</f>
        <v>#N/A</v>
      </c>
      <c r="H167" s="1" t="e">
        <f>VLOOKUP(AC167,[1]PaymentModel_ID!$A$2:$B$7,2,FALSE)</f>
        <v>#N/A</v>
      </c>
      <c r="I167" s="1" t="e">
        <f>VLOOKUP(W167,[1]ExpectedInvoiceDate_ID!$A$2:$B$12,2,FALSE)</f>
        <v>#N/A</v>
      </c>
      <c r="J167" s="1" t="e">
        <f>VLOOKUP(X167,[1]GrantOfRights_ID!$A$2:$B$7,2,FALSE)</f>
        <v>#N/A</v>
      </c>
      <c r="K167" s="1" t="str">
        <f>VLOOKUP(AE167,[1]Profile!$A$2:$B$8,2,FALSE)</f>
        <v>License</v>
      </c>
      <c r="M167" s="1" t="str">
        <f>VLOOKUP(Y167,[1]License_Method_ID!$A$2:$B$13,2,FALSE)</f>
        <v>no technical license protection</v>
      </c>
      <c r="N167" s="1" t="s">
        <v>47</v>
      </c>
      <c r="O167" s="1">
        <v>10</v>
      </c>
      <c r="P167" s="1">
        <v>50</v>
      </c>
      <c r="Q167" s="1" t="str">
        <f>VLOOKUP(AB167,[1]Operational_Profit_Type_ID!$A$2:$B$3,2,FALSE)</f>
        <v>Fix rate</v>
      </c>
      <c r="R167" s="1" t="s">
        <v>48</v>
      </c>
      <c r="T167" s="1" t="str">
        <f>VLOOKUP(AD167,[1]UpdateRightID!$A$2:$B$4,2,FALSE)</f>
        <v>TotalAmountAsUpdateRight</v>
      </c>
      <c r="U167" s="1" t="s">
        <v>48</v>
      </c>
      <c r="Y167" s="1">
        <v>0</v>
      </c>
      <c r="AB167" s="1">
        <v>1</v>
      </c>
      <c r="AD167" s="1">
        <v>2</v>
      </c>
      <c r="AE167" s="1">
        <v>1</v>
      </c>
    </row>
    <row r="168" spans="2:31" ht="60">
      <c r="B168" s="1" t="s">
        <v>473</v>
      </c>
      <c r="C168" t="s">
        <v>474</v>
      </c>
      <c r="D168" s="1" t="s">
        <v>475</v>
      </c>
      <c r="E168" s="1" t="e">
        <f>VLOOKUP(Z168,[1]LicenseDuration_ID!$A$2:$B$8,2,FALSE)</f>
        <v>#N/A</v>
      </c>
      <c r="F168" s="1" t="e">
        <f>VLOOKUP(AA168,[1]MaintenanceDuration_ID!$A$2:$B$5,2,FALSE)</f>
        <v>#N/A</v>
      </c>
      <c r="G168" s="1" t="e">
        <f>VLOOKUP(V168,[1]ExpectedDeliveryTime_ID!$A$2:$B$12,2,FALSE)</f>
        <v>#N/A</v>
      </c>
      <c r="H168" s="1" t="e">
        <f>VLOOKUP(AC168,[1]PaymentModel_ID!$A$2:$B$7,2,FALSE)</f>
        <v>#N/A</v>
      </c>
      <c r="I168" s="1" t="e">
        <f>VLOOKUP(W168,[1]ExpectedInvoiceDate_ID!$A$2:$B$12,2,FALSE)</f>
        <v>#N/A</v>
      </c>
      <c r="J168" s="1" t="e">
        <f>VLOOKUP(X168,[1]GrantOfRights_ID!$A$2:$B$7,2,FALSE)</f>
        <v>#N/A</v>
      </c>
      <c r="K168" s="1" t="str">
        <f>VLOOKUP(AE168,[1]Profile!$A$2:$B$8,2,FALSE)</f>
        <v>License</v>
      </c>
      <c r="M168" s="1" t="str">
        <f>VLOOKUP(Y168,[1]License_Method_ID!$A$2:$B$13,2,FALSE)</f>
        <v>FlexNet Publisher Dongle License File</v>
      </c>
      <c r="N168" s="1" t="s">
        <v>47</v>
      </c>
      <c r="O168" s="1">
        <v>10</v>
      </c>
      <c r="P168" s="1">
        <v>50</v>
      </c>
      <c r="Q168" s="1" t="str">
        <f>VLOOKUP(AB168,[1]Operational_Profit_Type_ID!$A$2:$B$3,2,FALSE)</f>
        <v>Fix rate</v>
      </c>
      <c r="R168" s="1" t="s">
        <v>48</v>
      </c>
      <c r="T168" s="1" t="str">
        <f>VLOOKUP(AD168,[1]UpdateRightID!$A$2:$B$4,2,FALSE)</f>
        <v>UpdateRightByConfiguration</v>
      </c>
      <c r="U168" s="1" t="s">
        <v>48</v>
      </c>
      <c r="Y168" s="1">
        <v>3</v>
      </c>
      <c r="AB168" s="1">
        <v>1</v>
      </c>
      <c r="AD168" s="1">
        <v>1</v>
      </c>
      <c r="AE168" s="1">
        <v>1</v>
      </c>
    </row>
    <row r="169" spans="2:31" ht="45">
      <c r="B169" s="1" t="s">
        <v>476</v>
      </c>
      <c r="C169" t="s">
        <v>477</v>
      </c>
      <c r="D169" s="1" t="s">
        <v>478</v>
      </c>
      <c r="E169" s="1" t="e">
        <f>VLOOKUP(Z169,[1]LicenseDuration_ID!$A$2:$B$8,2,FALSE)</f>
        <v>#N/A</v>
      </c>
      <c r="F169" s="1" t="e">
        <f>VLOOKUP(AA169,[1]MaintenanceDuration_ID!$A$2:$B$5,2,FALSE)</f>
        <v>#N/A</v>
      </c>
      <c r="G169" s="1" t="e">
        <f>VLOOKUP(V169,[1]ExpectedDeliveryTime_ID!$A$2:$B$12,2,FALSE)</f>
        <v>#N/A</v>
      </c>
      <c r="H169" s="1" t="e">
        <f>VLOOKUP(AC169,[1]PaymentModel_ID!$A$2:$B$7,2,FALSE)</f>
        <v>#N/A</v>
      </c>
      <c r="I169" s="1" t="e">
        <f>VLOOKUP(W169,[1]ExpectedInvoiceDate_ID!$A$2:$B$12,2,FALSE)</f>
        <v>#N/A</v>
      </c>
      <c r="J169" s="1" t="e">
        <f>VLOOKUP(X169,[1]GrantOfRights_ID!$A$2:$B$7,2,FALSE)</f>
        <v>#N/A</v>
      </c>
      <c r="K169" s="1" t="str">
        <f>VLOOKUP(AE169,[1]Profile!$A$2:$B$8,2,FALSE)</f>
        <v>License</v>
      </c>
      <c r="M169" s="1" t="str">
        <f>VLOOKUP(Y169,[1]License_Method_ID!$A$2:$B$13,2,FALSE)</f>
        <v>FlexNet Publisher Dongle License File</v>
      </c>
      <c r="N169" s="1" t="s">
        <v>47</v>
      </c>
      <c r="O169" s="1">
        <v>10</v>
      </c>
      <c r="P169" s="1">
        <v>50</v>
      </c>
      <c r="Q169" s="1" t="str">
        <f>VLOOKUP(AB169,[1]Operational_Profit_Type_ID!$A$2:$B$3,2,FALSE)</f>
        <v>Fix rate</v>
      </c>
      <c r="R169" s="1" t="s">
        <v>48</v>
      </c>
      <c r="T169" s="1" t="str">
        <f>VLOOKUP(AD169,[1]UpdateRightID!$A$2:$B$4,2,FALSE)</f>
        <v>TotalAmountAsUpdateRight</v>
      </c>
      <c r="U169" s="1" t="s">
        <v>48</v>
      </c>
      <c r="Y169" s="1">
        <v>3</v>
      </c>
      <c r="AB169" s="1">
        <v>1</v>
      </c>
      <c r="AD169" s="1">
        <v>2</v>
      </c>
      <c r="AE169" s="1">
        <v>1</v>
      </c>
    </row>
    <row r="170" spans="2:31" ht="60">
      <c r="B170" s="1" t="s">
        <v>479</v>
      </c>
      <c r="C170" t="s">
        <v>480</v>
      </c>
      <c r="D170" s="1" t="s">
        <v>475</v>
      </c>
      <c r="E170" s="1" t="e">
        <f>VLOOKUP(Z170,[1]LicenseDuration_ID!$A$2:$B$8,2,FALSE)</f>
        <v>#N/A</v>
      </c>
      <c r="F170" s="1" t="e">
        <f>VLOOKUP(AA170,[1]MaintenanceDuration_ID!$A$2:$B$5,2,FALSE)</f>
        <v>#N/A</v>
      </c>
      <c r="G170" s="1" t="e">
        <f>VLOOKUP(V170,[1]ExpectedDeliveryTime_ID!$A$2:$B$12,2,FALSE)</f>
        <v>#N/A</v>
      </c>
      <c r="H170" s="1" t="e">
        <f>VLOOKUP(AC170,[1]PaymentModel_ID!$A$2:$B$7,2,FALSE)</f>
        <v>#N/A</v>
      </c>
      <c r="I170" s="1" t="e">
        <f>VLOOKUP(W170,[1]ExpectedInvoiceDate_ID!$A$2:$B$12,2,FALSE)</f>
        <v>#N/A</v>
      </c>
      <c r="J170" s="1" t="e">
        <f>VLOOKUP(X170,[1]GrantOfRights_ID!$A$2:$B$7,2,FALSE)</f>
        <v>#N/A</v>
      </c>
      <c r="K170" s="1" t="str">
        <f>VLOOKUP(AE170,[1]Profile!$A$2:$B$8,2,FALSE)</f>
        <v>License</v>
      </c>
      <c r="M170" s="1" t="str">
        <f>VLOOKUP(Y170,[1]License_Method_ID!$A$2:$B$13,2,FALSE)</f>
        <v>FlexNet Publisher Application Activation Code</v>
      </c>
      <c r="N170" s="1" t="s">
        <v>47</v>
      </c>
      <c r="O170" s="1">
        <v>10</v>
      </c>
      <c r="P170" s="1">
        <v>50</v>
      </c>
      <c r="Q170" s="1" t="str">
        <f>VLOOKUP(AB170,[1]Operational_Profit_Type_ID!$A$2:$B$3,2,FALSE)</f>
        <v>Fix rate</v>
      </c>
      <c r="R170" s="1" t="s">
        <v>48</v>
      </c>
      <c r="T170" s="1" t="str">
        <f>VLOOKUP(AD170,[1]UpdateRightID!$A$2:$B$4,2,FALSE)</f>
        <v>UpdateRightByConfiguration</v>
      </c>
      <c r="U170" s="1" t="s">
        <v>48</v>
      </c>
      <c r="Y170" s="1">
        <v>1</v>
      </c>
      <c r="AB170" s="1">
        <v>1</v>
      </c>
      <c r="AD170" s="1">
        <v>1</v>
      </c>
      <c r="AE170" s="1">
        <v>1</v>
      </c>
    </row>
    <row r="171" spans="2:31" ht="45">
      <c r="B171" s="1" t="s">
        <v>481</v>
      </c>
      <c r="C171" t="s">
        <v>482</v>
      </c>
      <c r="D171" s="1" t="s">
        <v>478</v>
      </c>
      <c r="E171" s="1" t="e">
        <f>VLOOKUP(Z171,[1]LicenseDuration_ID!$A$2:$B$8,2,FALSE)</f>
        <v>#N/A</v>
      </c>
      <c r="F171" s="1" t="e">
        <f>VLOOKUP(AA171,[1]MaintenanceDuration_ID!$A$2:$B$5,2,FALSE)</f>
        <v>#N/A</v>
      </c>
      <c r="G171" s="1" t="e">
        <f>VLOOKUP(V171,[1]ExpectedDeliveryTime_ID!$A$2:$B$12,2,FALSE)</f>
        <v>#N/A</v>
      </c>
      <c r="H171" s="1" t="e">
        <f>VLOOKUP(AC171,[1]PaymentModel_ID!$A$2:$B$7,2,FALSE)</f>
        <v>#N/A</v>
      </c>
      <c r="I171" s="1" t="e">
        <f>VLOOKUP(W171,[1]ExpectedInvoiceDate_ID!$A$2:$B$12,2,FALSE)</f>
        <v>#N/A</v>
      </c>
      <c r="J171" s="1" t="e">
        <f>VLOOKUP(X171,[1]GrantOfRights_ID!$A$2:$B$7,2,FALSE)</f>
        <v>#N/A</v>
      </c>
      <c r="K171" s="1" t="str">
        <f>VLOOKUP(AE171,[1]Profile!$A$2:$B$8,2,FALSE)</f>
        <v>License</v>
      </c>
      <c r="M171" s="1" t="str">
        <f>VLOOKUP(Y171,[1]License_Method_ID!$A$2:$B$13,2,FALSE)</f>
        <v>FlexNet Publisher Application Activation Code</v>
      </c>
      <c r="N171" s="1" t="s">
        <v>47</v>
      </c>
      <c r="O171" s="1">
        <v>10</v>
      </c>
      <c r="P171" s="1">
        <v>50</v>
      </c>
      <c r="Q171" s="1" t="str">
        <f>VLOOKUP(AB171,[1]Operational_Profit_Type_ID!$A$2:$B$3,2,FALSE)</f>
        <v>Fix rate</v>
      </c>
      <c r="R171" s="1" t="s">
        <v>48</v>
      </c>
      <c r="T171" s="1" t="str">
        <f>VLOOKUP(AD171,[1]UpdateRightID!$A$2:$B$4,2,FALSE)</f>
        <v>TotalAmountAsUpdateRight</v>
      </c>
      <c r="U171" s="1" t="s">
        <v>48</v>
      </c>
      <c r="Y171" s="1">
        <v>1</v>
      </c>
      <c r="AB171" s="1">
        <v>1</v>
      </c>
      <c r="AD171" s="1">
        <v>2</v>
      </c>
      <c r="AE171" s="1">
        <v>1</v>
      </c>
    </row>
    <row r="172" spans="2:31" ht="150">
      <c r="B172" s="1" t="s">
        <v>483</v>
      </c>
      <c r="C172" t="s">
        <v>484</v>
      </c>
      <c r="D172" s="1" t="s">
        <v>121</v>
      </c>
      <c r="E172" s="1" t="e">
        <f>VLOOKUP(Z172,[1]LicenseDuration_ID!$A$2:$B$8,2,FALSE)</f>
        <v>#N/A</v>
      </c>
      <c r="F172" s="1" t="e">
        <f>VLOOKUP(AA172,[1]MaintenanceDuration_ID!$A$2:$B$5,2,FALSE)</f>
        <v>#N/A</v>
      </c>
      <c r="G172" s="1" t="e">
        <f>VLOOKUP(V172,[1]ExpectedDeliveryTime_ID!$A$2:$B$12,2,FALSE)</f>
        <v>#N/A</v>
      </c>
      <c r="H172" s="1" t="e">
        <f>VLOOKUP(AC172,[1]PaymentModel_ID!$A$2:$B$7,2,FALSE)</f>
        <v>#N/A</v>
      </c>
      <c r="I172" s="1" t="e">
        <f>VLOOKUP(W172,[1]ExpectedInvoiceDate_ID!$A$2:$B$12,2,FALSE)</f>
        <v>#N/A</v>
      </c>
      <c r="J172" s="1" t="e">
        <f>VLOOKUP(X172,[1]GrantOfRights_ID!$A$2:$B$7,2,FALSE)</f>
        <v>#N/A</v>
      </c>
      <c r="K172" s="1" t="str">
        <f>VLOOKUP(AE172,[1]Profile!$A$2:$B$8,2,FALSE)</f>
        <v>License</v>
      </c>
      <c r="M172" s="1" t="str">
        <f>VLOOKUP(Y172,[1]License_Method_ID!$A$2:$B$13,2,FALSE)</f>
        <v>FlexNet Publisher Application Activation Code</v>
      </c>
      <c r="N172" s="1" t="s">
        <v>47</v>
      </c>
      <c r="O172" s="1">
        <v>10</v>
      </c>
      <c r="P172" s="1">
        <v>50</v>
      </c>
      <c r="Q172" s="1" t="str">
        <f>VLOOKUP(AB172,[1]Operational_Profit_Type_ID!$A$2:$B$3,2,FALSE)</f>
        <v>Fix rate</v>
      </c>
      <c r="R172" s="1" t="s">
        <v>55</v>
      </c>
      <c r="T172" s="1" t="str">
        <f>VLOOKUP(AD172,[1]UpdateRightID!$A$2:$B$4,2,FALSE)</f>
        <v>none</v>
      </c>
      <c r="U172" s="1" t="s">
        <v>48</v>
      </c>
      <c r="Y172" s="1">
        <v>1</v>
      </c>
      <c r="AB172" s="1">
        <v>1</v>
      </c>
      <c r="AD172" s="1">
        <v>0</v>
      </c>
      <c r="AE172" s="1">
        <v>1</v>
      </c>
    </row>
    <row r="173" spans="2:31">
      <c r="B173" s="1" t="s">
        <v>485</v>
      </c>
      <c r="C173" t="s">
        <v>486</v>
      </c>
      <c r="E173" s="1" t="e">
        <f>VLOOKUP(Z173,[1]LicenseDuration_ID!$A$2:$B$8,2,FALSE)</f>
        <v>#N/A</v>
      </c>
      <c r="F173" s="1" t="e">
        <f>VLOOKUP(AA173,[1]MaintenanceDuration_ID!$A$2:$B$5,2,FALSE)</f>
        <v>#N/A</v>
      </c>
      <c r="G173" s="1" t="e">
        <f>VLOOKUP(V173,[1]ExpectedDeliveryTime_ID!$A$2:$B$12,2,FALSE)</f>
        <v>#N/A</v>
      </c>
      <c r="H173" s="1" t="e">
        <f>VLOOKUP(AC173,[1]PaymentModel_ID!$A$2:$B$7,2,FALSE)</f>
        <v>#N/A</v>
      </c>
      <c r="I173" s="1" t="e">
        <f>VLOOKUP(W173,[1]ExpectedInvoiceDate_ID!$A$2:$B$12,2,FALSE)</f>
        <v>#N/A</v>
      </c>
      <c r="J173" s="1" t="e">
        <f>VLOOKUP(X173,[1]GrantOfRights_ID!$A$2:$B$7,2,FALSE)</f>
        <v>#N/A</v>
      </c>
      <c r="K173" s="1" t="str">
        <f>VLOOKUP(AE173,[1]Profile!$A$2:$B$8,2,FALSE)</f>
        <v>Training</v>
      </c>
      <c r="M173" s="1" t="str">
        <f>VLOOKUP(Y173,[1]License_Method_ID!$A$2:$B$13,2,FALSE)</f>
        <v>no technical license protection</v>
      </c>
      <c r="N173" s="1" t="s">
        <v>47</v>
      </c>
      <c r="O173" s="1">
        <v>10</v>
      </c>
      <c r="Q173" s="1" t="str">
        <f>VLOOKUP(AB173,[1]Operational_Profit_Type_ID!$A$2:$B$3,2,FALSE)</f>
        <v>Calculated</v>
      </c>
      <c r="R173" s="1" t="s">
        <v>55</v>
      </c>
      <c r="T173" s="1" t="str">
        <f>VLOOKUP(AD173,[1]UpdateRightID!$A$2:$B$4,2,FALSE)</f>
        <v>none</v>
      </c>
      <c r="U173" s="1" t="s">
        <v>48</v>
      </c>
      <c r="Y173" s="1">
        <v>0</v>
      </c>
      <c r="AB173" s="1">
        <v>2</v>
      </c>
      <c r="AD173" s="1">
        <v>0</v>
      </c>
      <c r="AE173" s="1">
        <v>5</v>
      </c>
    </row>
    <row r="174" spans="2:31" ht="75">
      <c r="B174" s="1" t="s">
        <v>487</v>
      </c>
      <c r="C174" t="s">
        <v>488</v>
      </c>
      <c r="E174" s="1" t="e">
        <f>VLOOKUP(Z174,[1]LicenseDuration_ID!$A$2:$B$8,2,FALSE)</f>
        <v>#N/A</v>
      </c>
      <c r="F174" s="1" t="e">
        <f>VLOOKUP(AA174,[1]MaintenanceDuration_ID!$A$2:$B$5,2,FALSE)</f>
        <v>#N/A</v>
      </c>
      <c r="G174" s="1" t="e">
        <f>VLOOKUP(V174,[1]ExpectedDeliveryTime_ID!$A$2:$B$12,2,FALSE)</f>
        <v>#N/A</v>
      </c>
      <c r="H174" s="1" t="e">
        <f>VLOOKUP(AC174,[1]PaymentModel_ID!$A$2:$B$7,2,FALSE)</f>
        <v>#N/A</v>
      </c>
      <c r="I174" s="1" t="e">
        <f>VLOOKUP(W174,[1]ExpectedInvoiceDate_ID!$A$2:$B$12,2,FALSE)</f>
        <v>#N/A</v>
      </c>
      <c r="J174" s="1" t="e">
        <f>VLOOKUP(X174,[1]GrantOfRights_ID!$A$2:$B$7,2,FALSE)</f>
        <v>#N/A</v>
      </c>
      <c r="K174" s="1" t="str">
        <f>VLOOKUP(AE174,[1]Profile!$A$2:$B$8,2,FALSE)</f>
        <v>Product related service without profile</v>
      </c>
      <c r="M174" s="1" t="str">
        <f>VLOOKUP(Y174,[1]License_Method_ID!$A$2:$B$13,2,FALSE)</f>
        <v>no technical license protection</v>
      </c>
      <c r="N174" s="1" t="s">
        <v>88</v>
      </c>
      <c r="O174" s="1">
        <v>10</v>
      </c>
      <c r="Q174" s="1" t="str">
        <f>VLOOKUP(AB174,[1]Operational_Profit_Type_ID!$A$2:$B$3,2,FALSE)</f>
        <v>Calculated</v>
      </c>
      <c r="R174" s="1" t="s">
        <v>55</v>
      </c>
      <c r="T174" s="1" t="str">
        <f>VLOOKUP(AD174,[1]UpdateRightID!$A$2:$B$4,2,FALSE)</f>
        <v>none</v>
      </c>
      <c r="U174" s="1" t="s">
        <v>48</v>
      </c>
      <c r="Y174" s="1">
        <v>0</v>
      </c>
      <c r="AB174" s="1">
        <v>2</v>
      </c>
      <c r="AD174" s="1">
        <v>0</v>
      </c>
      <c r="AE174" s="1">
        <v>0</v>
      </c>
    </row>
    <row r="175" spans="2:31" ht="75">
      <c r="B175" s="1" t="s">
        <v>489</v>
      </c>
      <c r="C175" t="s">
        <v>490</v>
      </c>
      <c r="D175" s="1" t="s">
        <v>491</v>
      </c>
      <c r="E175" s="1" t="e">
        <f>VLOOKUP(Z175,[1]LicenseDuration_ID!$A$2:$B$8,2,FALSE)</f>
        <v>#N/A</v>
      </c>
      <c r="F175" s="1" t="e">
        <f>VLOOKUP(AA175,[1]MaintenanceDuration_ID!$A$2:$B$5,2,FALSE)</f>
        <v>#N/A</v>
      </c>
      <c r="G175" s="1" t="e">
        <f>VLOOKUP(V175,[1]ExpectedDeliveryTime_ID!$A$2:$B$12,2,FALSE)</f>
        <v>#N/A</v>
      </c>
      <c r="H175" s="1" t="e">
        <f>VLOOKUP(AC175,[1]PaymentModel_ID!$A$2:$B$7,2,FALSE)</f>
        <v>#N/A</v>
      </c>
      <c r="I175" s="1" t="e">
        <f>VLOOKUP(W175,[1]ExpectedInvoiceDate_ID!$A$2:$B$12,2,FALSE)</f>
        <v>#N/A</v>
      </c>
      <c r="J175" s="1" t="e">
        <f>VLOOKUP(X175,[1]GrantOfRights_ID!$A$2:$B$7,2,FALSE)</f>
        <v>#N/A</v>
      </c>
      <c r="K175" s="1" t="str">
        <f>VLOOKUP(AE175,[1]Profile!$A$2:$B$8,2,FALSE)</f>
        <v>Product related service without profile</v>
      </c>
      <c r="M175" s="1" t="str">
        <f>VLOOKUP(Y175,[1]License_Method_ID!$A$2:$B$13,2,FALSE)</f>
        <v>no technical license protection</v>
      </c>
      <c r="O175" s="1">
        <v>10</v>
      </c>
      <c r="Q175" s="1" t="str">
        <f>VLOOKUP(AB175,[1]Operational_Profit_Type_ID!$A$2:$B$3,2,FALSE)</f>
        <v>Calculated</v>
      </c>
      <c r="R175" s="1" t="s">
        <v>55</v>
      </c>
      <c r="T175" s="1" t="str">
        <f>VLOOKUP(AD175,[1]UpdateRightID!$A$2:$B$4,2,FALSE)</f>
        <v>none</v>
      </c>
      <c r="U175" s="1" t="s">
        <v>48</v>
      </c>
      <c r="Y175" s="1">
        <v>0</v>
      </c>
      <c r="AB175" s="1">
        <v>2</v>
      </c>
      <c r="AD175" s="1">
        <v>0</v>
      </c>
      <c r="AE175" s="1">
        <v>0</v>
      </c>
    </row>
    <row r="176" spans="2:31" ht="75">
      <c r="B176" s="1" t="s">
        <v>492</v>
      </c>
      <c r="C176" t="s">
        <v>493</v>
      </c>
      <c r="D176" s="1" t="s">
        <v>491</v>
      </c>
      <c r="E176" s="1" t="e">
        <f>VLOOKUP(Z176,[1]LicenseDuration_ID!$A$2:$B$8,2,FALSE)</f>
        <v>#N/A</v>
      </c>
      <c r="F176" s="1" t="e">
        <f>VLOOKUP(AA176,[1]MaintenanceDuration_ID!$A$2:$B$5,2,FALSE)</f>
        <v>#N/A</v>
      </c>
      <c r="G176" s="1" t="e">
        <f>VLOOKUP(V176,[1]ExpectedDeliveryTime_ID!$A$2:$B$12,2,FALSE)</f>
        <v>#N/A</v>
      </c>
      <c r="H176" s="1" t="e">
        <f>VLOOKUP(AC176,[1]PaymentModel_ID!$A$2:$B$7,2,FALSE)</f>
        <v>#N/A</v>
      </c>
      <c r="I176" s="1" t="e">
        <f>VLOOKUP(W176,[1]ExpectedInvoiceDate_ID!$A$2:$B$12,2,FALSE)</f>
        <v>#N/A</v>
      </c>
      <c r="J176" s="1" t="e">
        <f>VLOOKUP(X176,[1]GrantOfRights_ID!$A$2:$B$7,2,FALSE)</f>
        <v>#N/A</v>
      </c>
      <c r="K176" s="1" t="str">
        <f>VLOOKUP(AE176,[1]Profile!$A$2:$B$8,2,FALSE)</f>
        <v>Product related service without profile</v>
      </c>
      <c r="M176" s="1" t="str">
        <f>VLOOKUP(Y176,[1]License_Method_ID!$A$2:$B$13,2,FALSE)</f>
        <v>no technical license protection</v>
      </c>
      <c r="O176" s="1">
        <v>10</v>
      </c>
      <c r="Q176" s="1" t="str">
        <f>VLOOKUP(AB176,[1]Operational_Profit_Type_ID!$A$2:$B$3,2,FALSE)</f>
        <v>Calculated</v>
      </c>
      <c r="R176" s="1" t="s">
        <v>55</v>
      </c>
      <c r="T176" s="1" t="str">
        <f>VLOOKUP(AD176,[1]UpdateRightID!$A$2:$B$4,2,FALSE)</f>
        <v>none</v>
      </c>
      <c r="U176" s="1" t="s">
        <v>48</v>
      </c>
      <c r="Y176" s="1">
        <v>0</v>
      </c>
      <c r="AB176" s="1">
        <v>2</v>
      </c>
      <c r="AD176" s="1">
        <v>0</v>
      </c>
      <c r="AE176" s="1">
        <v>0</v>
      </c>
    </row>
    <row r="177" spans="2:31" ht="75">
      <c r="B177" s="1" t="s">
        <v>494</v>
      </c>
      <c r="C177" t="s">
        <v>495</v>
      </c>
      <c r="D177" s="1" t="s">
        <v>407</v>
      </c>
      <c r="E177" s="1" t="e">
        <f>VLOOKUP(Z177,[1]LicenseDuration_ID!$A$2:$B$8,2,FALSE)</f>
        <v>#N/A</v>
      </c>
      <c r="F177" s="1" t="e">
        <f>VLOOKUP(AA177,[1]MaintenanceDuration_ID!$A$2:$B$5,2,FALSE)</f>
        <v>#N/A</v>
      </c>
      <c r="G177" s="1" t="e">
        <f>VLOOKUP(V177,[1]ExpectedDeliveryTime_ID!$A$2:$B$12,2,FALSE)</f>
        <v>#N/A</v>
      </c>
      <c r="H177" s="1" t="e">
        <f>VLOOKUP(AC177,[1]PaymentModel_ID!$A$2:$B$7,2,FALSE)</f>
        <v>#N/A</v>
      </c>
      <c r="I177" s="1" t="e">
        <f>VLOOKUP(W177,[1]ExpectedInvoiceDate_ID!$A$2:$B$12,2,FALSE)</f>
        <v>#N/A</v>
      </c>
      <c r="J177" s="1" t="e">
        <f>VLOOKUP(X177,[1]GrantOfRights_ID!$A$2:$B$7,2,FALSE)</f>
        <v>#N/A</v>
      </c>
      <c r="K177" s="1" t="str">
        <f>VLOOKUP(AE177,[1]Profile!$A$2:$B$8,2,FALSE)</f>
        <v>Product related service without profile</v>
      </c>
      <c r="M177" s="1" t="str">
        <f>VLOOKUP(Y177,[1]License_Method_ID!$A$2:$B$13,2,FALSE)</f>
        <v>no technical license protection</v>
      </c>
      <c r="O177" s="1">
        <v>10</v>
      </c>
      <c r="Q177" s="1" t="str">
        <f>VLOOKUP(AB177,[1]Operational_Profit_Type_ID!$A$2:$B$3,2,FALSE)</f>
        <v>Calculated</v>
      </c>
      <c r="R177" s="1" t="s">
        <v>55</v>
      </c>
      <c r="T177" s="1" t="str">
        <f>VLOOKUP(AD177,[1]UpdateRightID!$A$2:$B$4,2,FALSE)</f>
        <v>none</v>
      </c>
      <c r="U177" s="1" t="s">
        <v>48</v>
      </c>
      <c r="Y177" s="1">
        <v>0</v>
      </c>
      <c r="AB177" s="1">
        <v>2</v>
      </c>
      <c r="AD177" s="1">
        <v>0</v>
      </c>
      <c r="AE177" s="1">
        <v>0</v>
      </c>
    </row>
    <row r="178" spans="2:31" ht="75">
      <c r="B178" s="1" t="s">
        <v>496</v>
      </c>
      <c r="C178" t="s">
        <v>497</v>
      </c>
      <c r="E178" s="1" t="e">
        <f>VLOOKUP(Z178,[1]LicenseDuration_ID!$A$2:$B$8,2,FALSE)</f>
        <v>#N/A</v>
      </c>
      <c r="F178" s="1" t="e">
        <f>VLOOKUP(AA178,[1]MaintenanceDuration_ID!$A$2:$B$5,2,FALSE)</f>
        <v>#N/A</v>
      </c>
      <c r="G178" s="1" t="e">
        <f>VLOOKUP(V178,[1]ExpectedDeliveryTime_ID!$A$2:$B$12,2,FALSE)</f>
        <v>#N/A</v>
      </c>
      <c r="H178" s="1" t="e">
        <f>VLOOKUP(AC178,[1]PaymentModel_ID!$A$2:$B$7,2,FALSE)</f>
        <v>#N/A</v>
      </c>
      <c r="I178" s="1" t="e">
        <f>VLOOKUP(W178,[1]ExpectedInvoiceDate_ID!$A$2:$B$12,2,FALSE)</f>
        <v>#N/A</v>
      </c>
      <c r="J178" s="1" t="e">
        <f>VLOOKUP(X178,[1]GrantOfRights_ID!$A$2:$B$7,2,FALSE)</f>
        <v>#N/A</v>
      </c>
      <c r="K178" s="1" t="str">
        <f>VLOOKUP(AE178,[1]Profile!$A$2:$B$8,2,FALSE)</f>
        <v>Product related service without profile</v>
      </c>
      <c r="M178" s="1" t="str">
        <f>VLOOKUP(Y178,[1]License_Method_ID!$A$2:$B$13,2,FALSE)</f>
        <v>no technical license protection</v>
      </c>
      <c r="O178" s="1">
        <v>10</v>
      </c>
      <c r="Q178" s="1" t="str">
        <f>VLOOKUP(AB178,[1]Operational_Profit_Type_ID!$A$2:$B$3,2,FALSE)</f>
        <v>Calculated</v>
      </c>
      <c r="R178" s="1" t="s">
        <v>55</v>
      </c>
      <c r="T178" s="1" t="str">
        <f>VLOOKUP(AD178,[1]UpdateRightID!$A$2:$B$4,2,FALSE)</f>
        <v>none</v>
      </c>
      <c r="U178" s="1" t="s">
        <v>48</v>
      </c>
      <c r="Y178" s="1">
        <v>0</v>
      </c>
      <c r="AB178" s="1">
        <v>2</v>
      </c>
      <c r="AD178" s="1">
        <v>0</v>
      </c>
      <c r="AE178" s="1">
        <v>0</v>
      </c>
    </row>
    <row r="179" spans="2:31" ht="75">
      <c r="B179" s="1" t="s">
        <v>498</v>
      </c>
      <c r="C179" t="s">
        <v>499</v>
      </c>
      <c r="E179" s="1" t="e">
        <f>VLOOKUP(Z179,[1]LicenseDuration_ID!$A$2:$B$8,2,FALSE)</f>
        <v>#N/A</v>
      </c>
      <c r="F179" s="1" t="e">
        <f>VLOOKUP(AA179,[1]MaintenanceDuration_ID!$A$2:$B$5,2,FALSE)</f>
        <v>#N/A</v>
      </c>
      <c r="G179" s="1" t="e">
        <f>VLOOKUP(V179,[1]ExpectedDeliveryTime_ID!$A$2:$B$12,2,FALSE)</f>
        <v>#N/A</v>
      </c>
      <c r="H179" s="1" t="e">
        <f>VLOOKUP(AC179,[1]PaymentModel_ID!$A$2:$B$7,2,FALSE)</f>
        <v>#N/A</v>
      </c>
      <c r="I179" s="1" t="e">
        <f>VLOOKUP(W179,[1]ExpectedInvoiceDate_ID!$A$2:$B$12,2,FALSE)</f>
        <v>#N/A</v>
      </c>
      <c r="J179" s="1" t="e">
        <f>VLOOKUP(X179,[1]GrantOfRights_ID!$A$2:$B$7,2,FALSE)</f>
        <v>#N/A</v>
      </c>
      <c r="K179" s="1" t="str">
        <f>VLOOKUP(AE179,[1]Profile!$A$2:$B$8,2,FALSE)</f>
        <v>Product related service without profile</v>
      </c>
      <c r="M179" s="1" t="str">
        <f>VLOOKUP(Y179,[1]License_Method_ID!$A$2:$B$13,2,FALSE)</f>
        <v>no technical license protection</v>
      </c>
      <c r="O179" s="1">
        <v>10</v>
      </c>
      <c r="Q179" s="1" t="str">
        <f>VLOOKUP(AB179,[1]Operational_Profit_Type_ID!$A$2:$B$3,2,FALSE)</f>
        <v>Calculated</v>
      </c>
      <c r="R179" s="1" t="s">
        <v>55</v>
      </c>
      <c r="T179" s="1" t="str">
        <f>VLOOKUP(AD179,[1]UpdateRightID!$A$2:$B$4,2,FALSE)</f>
        <v>none</v>
      </c>
      <c r="U179" s="1" t="s">
        <v>48</v>
      </c>
      <c r="Y179" s="1">
        <v>0</v>
      </c>
      <c r="AB179" s="1">
        <v>2</v>
      </c>
      <c r="AD179" s="1">
        <v>0</v>
      </c>
      <c r="AE179" s="1">
        <v>0</v>
      </c>
    </row>
    <row r="180" spans="2:31" ht="409.5">
      <c r="B180" s="1" t="s">
        <v>500</v>
      </c>
      <c r="C180" t="s">
        <v>501</v>
      </c>
      <c r="D180" s="1" t="s">
        <v>502</v>
      </c>
      <c r="E180" s="1" t="e">
        <f>VLOOKUP(Z180,[1]LicenseDuration_ID!$A$2:$B$8,2,FALSE)</f>
        <v>#N/A</v>
      </c>
      <c r="F180" s="1" t="e">
        <f>VLOOKUP(AA180,[1]MaintenanceDuration_ID!$A$2:$B$5,2,FALSE)</f>
        <v>#N/A</v>
      </c>
      <c r="G180" s="1" t="e">
        <f>VLOOKUP(V180,[1]ExpectedDeliveryTime_ID!$A$2:$B$12,2,FALSE)</f>
        <v>#N/A</v>
      </c>
      <c r="H180" s="1" t="e">
        <f>VLOOKUP(AC180,[1]PaymentModel_ID!$A$2:$B$7,2,FALSE)</f>
        <v>#N/A</v>
      </c>
      <c r="I180" s="1" t="e">
        <f>VLOOKUP(W180,[1]ExpectedInvoiceDate_ID!$A$2:$B$12,2,FALSE)</f>
        <v>#N/A</v>
      </c>
      <c r="J180" s="1" t="e">
        <f>VLOOKUP(X180,[1]GrantOfRights_ID!$A$2:$B$7,2,FALSE)</f>
        <v>#N/A</v>
      </c>
      <c r="K180" s="1" t="str">
        <f>VLOOKUP(AE180,[1]Profile!$A$2:$B$8,2,FALSE)</f>
        <v>Qualification Package</v>
      </c>
      <c r="M180" s="1" t="str">
        <f>VLOOKUP(Y180,[1]License_Method_ID!$A$2:$B$13,2,FALSE)</f>
        <v>no technical license protection</v>
      </c>
      <c r="O180" s="1">
        <v>10</v>
      </c>
      <c r="P180" s="1">
        <v>50</v>
      </c>
      <c r="Q180" s="1" t="str">
        <f>VLOOKUP(AB180,[1]Operational_Profit_Type_ID!$A$2:$B$3,2,FALSE)</f>
        <v>Fix rate</v>
      </c>
      <c r="R180" s="1" t="s">
        <v>55</v>
      </c>
      <c r="T180" s="1" t="str">
        <f>VLOOKUP(AD180,[1]UpdateRightID!$A$2:$B$4,2,FALSE)</f>
        <v>none</v>
      </c>
      <c r="U180" s="1" t="s">
        <v>48</v>
      </c>
      <c r="Y180" s="1">
        <v>0</v>
      </c>
      <c r="AB180" s="1">
        <v>1</v>
      </c>
      <c r="AD180" s="1">
        <v>0</v>
      </c>
      <c r="AE180" s="1">
        <v>3</v>
      </c>
    </row>
    <row r="181" spans="2:31" ht="60">
      <c r="B181" s="1" t="s">
        <v>503</v>
      </c>
      <c r="C181" t="s">
        <v>504</v>
      </c>
      <c r="D181" s="1" t="s">
        <v>505</v>
      </c>
      <c r="E181" s="1" t="e">
        <f>VLOOKUP(Z181,[1]LicenseDuration_ID!$A$2:$B$8,2,FALSE)</f>
        <v>#N/A</v>
      </c>
      <c r="F181" s="1" t="e">
        <f>VLOOKUP(AA181,[1]MaintenanceDuration_ID!$A$2:$B$5,2,FALSE)</f>
        <v>#N/A</v>
      </c>
      <c r="G181" s="1" t="e">
        <f>VLOOKUP(V181,[1]ExpectedDeliveryTime_ID!$A$2:$B$12,2,FALSE)</f>
        <v>#N/A</v>
      </c>
      <c r="H181" s="1" t="e">
        <f>VLOOKUP(AC181,[1]PaymentModel_ID!$A$2:$B$7,2,FALSE)</f>
        <v>#N/A</v>
      </c>
      <c r="I181" s="1" t="e">
        <f>VLOOKUP(W181,[1]ExpectedInvoiceDate_ID!$A$2:$B$12,2,FALSE)</f>
        <v>#N/A</v>
      </c>
      <c r="J181" s="1" t="e">
        <f>VLOOKUP(X181,[1]GrantOfRights_ID!$A$2:$B$7,2,FALSE)</f>
        <v>#N/A</v>
      </c>
      <c r="K181" s="1" t="str">
        <f>VLOOKUP(AE181,[1]Profile!$A$2:$B$8,2,FALSE)</f>
        <v>License</v>
      </c>
      <c r="M181" s="1" t="str">
        <f>VLOOKUP(Y181,[1]License_Method_ID!$A$2:$B$13,2,FALSE)</f>
        <v>no technical license protection</v>
      </c>
      <c r="O181" s="1">
        <v>10</v>
      </c>
      <c r="P181" s="1">
        <v>50</v>
      </c>
      <c r="Q181" s="1" t="str">
        <f>VLOOKUP(AB181,[1]Operational_Profit_Type_ID!$A$2:$B$3,2,FALSE)</f>
        <v>Fix rate</v>
      </c>
      <c r="R181" s="1" t="s">
        <v>55</v>
      </c>
      <c r="T181" s="1" t="str">
        <f>VLOOKUP(AD181,[1]UpdateRightID!$A$2:$B$4,2,FALSE)</f>
        <v>none</v>
      </c>
      <c r="U181" s="1" t="s">
        <v>48</v>
      </c>
      <c r="Y181" s="1">
        <v>0</v>
      </c>
      <c r="AB181" s="1">
        <v>1</v>
      </c>
      <c r="AD181" s="1">
        <v>0</v>
      </c>
      <c r="AE181" s="1">
        <v>1</v>
      </c>
    </row>
    <row r="182" spans="2:31" ht="60">
      <c r="B182" s="1" t="s">
        <v>506</v>
      </c>
      <c r="C182" t="s">
        <v>507</v>
      </c>
      <c r="D182" s="1" t="s">
        <v>508</v>
      </c>
      <c r="E182" s="1" t="e">
        <f>VLOOKUP(Z182,[1]LicenseDuration_ID!$A$2:$B$8,2,FALSE)</f>
        <v>#N/A</v>
      </c>
      <c r="F182" s="1" t="e">
        <f>VLOOKUP(AA182,[1]MaintenanceDuration_ID!$A$2:$B$5,2,FALSE)</f>
        <v>#N/A</v>
      </c>
      <c r="G182" s="1" t="e">
        <f>VLOOKUP(V182,[1]ExpectedDeliveryTime_ID!$A$2:$B$12,2,FALSE)</f>
        <v>#N/A</v>
      </c>
      <c r="H182" s="1" t="e">
        <f>VLOOKUP(AC182,[1]PaymentModel_ID!$A$2:$B$7,2,FALSE)</f>
        <v>#N/A</v>
      </c>
      <c r="I182" s="1" t="e">
        <f>VLOOKUP(W182,[1]ExpectedInvoiceDate_ID!$A$2:$B$12,2,FALSE)</f>
        <v>#N/A</v>
      </c>
      <c r="J182" s="1" t="e">
        <f>VLOOKUP(X182,[1]GrantOfRights_ID!$A$2:$B$7,2,FALSE)</f>
        <v>#N/A</v>
      </c>
      <c r="K182" s="1" t="str">
        <f>VLOOKUP(AE182,[1]Profile!$A$2:$B$8,2,FALSE)</f>
        <v>License</v>
      </c>
      <c r="M182" s="1" t="str">
        <f>VLOOKUP(Y182,[1]License_Method_ID!$A$2:$B$13,2,FALSE)</f>
        <v>no technical license protection</v>
      </c>
      <c r="O182" s="1">
        <v>10</v>
      </c>
      <c r="P182" s="1">
        <v>50</v>
      </c>
      <c r="Q182" s="1" t="str">
        <f>VLOOKUP(AB182,[1]Operational_Profit_Type_ID!$A$2:$B$3,2,FALSE)</f>
        <v>Fix rate</v>
      </c>
      <c r="R182" s="1" t="s">
        <v>55</v>
      </c>
      <c r="T182" s="1" t="str">
        <f>VLOOKUP(AD182,[1]UpdateRightID!$A$2:$B$4,2,FALSE)</f>
        <v>none</v>
      </c>
      <c r="U182" s="1" t="s">
        <v>48</v>
      </c>
      <c r="Y182" s="1">
        <v>0</v>
      </c>
      <c r="AB182" s="1">
        <v>1</v>
      </c>
      <c r="AD182" s="1">
        <v>0</v>
      </c>
      <c r="AE182" s="1">
        <v>1</v>
      </c>
    </row>
    <row r="183" spans="2:31" ht="75">
      <c r="B183" s="1" t="s">
        <v>509</v>
      </c>
      <c r="C183" t="s">
        <v>510</v>
      </c>
      <c r="E183" s="1" t="e">
        <f>VLOOKUP(Z183,[1]LicenseDuration_ID!$A$2:$B$8,2,FALSE)</f>
        <v>#N/A</v>
      </c>
      <c r="F183" s="1" t="e">
        <f>VLOOKUP(AA183,[1]MaintenanceDuration_ID!$A$2:$B$5,2,FALSE)</f>
        <v>#N/A</v>
      </c>
      <c r="G183" s="1" t="e">
        <f>VLOOKUP(V183,[1]ExpectedDeliveryTime_ID!$A$2:$B$12,2,FALSE)</f>
        <v>#N/A</v>
      </c>
      <c r="H183" s="1" t="e">
        <f>VLOOKUP(AC183,[1]PaymentModel_ID!$A$2:$B$7,2,FALSE)</f>
        <v>#N/A</v>
      </c>
      <c r="I183" s="1" t="e">
        <f>VLOOKUP(W183,[1]ExpectedInvoiceDate_ID!$A$2:$B$12,2,FALSE)</f>
        <v>#N/A</v>
      </c>
      <c r="J183" s="1" t="e">
        <f>VLOOKUP(X183,[1]GrantOfRights_ID!$A$2:$B$7,2,FALSE)</f>
        <v>#N/A</v>
      </c>
      <c r="K183" s="1" t="str">
        <f>VLOOKUP(AE183,[1]Profile!$A$2:$B$8,2,FALSE)</f>
        <v>Product related service without profile</v>
      </c>
      <c r="M183" s="1" t="str">
        <f>VLOOKUP(Y183,[1]License_Method_ID!$A$2:$B$13,2,FALSE)</f>
        <v>no technical license protection</v>
      </c>
      <c r="O183" s="1">
        <v>10</v>
      </c>
      <c r="Q183" s="1" t="str">
        <f>VLOOKUP(AB183,[1]Operational_Profit_Type_ID!$A$2:$B$3,2,FALSE)</f>
        <v>Calculated</v>
      </c>
      <c r="R183" s="1" t="s">
        <v>55</v>
      </c>
      <c r="T183" s="1" t="str">
        <f>VLOOKUP(AD183,[1]UpdateRightID!$A$2:$B$4,2,FALSE)</f>
        <v>none</v>
      </c>
      <c r="U183" s="1" t="s">
        <v>48</v>
      </c>
      <c r="Y183" s="1">
        <v>0</v>
      </c>
      <c r="AB183" s="1">
        <v>2</v>
      </c>
      <c r="AD183" s="1">
        <v>0</v>
      </c>
      <c r="AE183" s="1">
        <v>0</v>
      </c>
    </row>
    <row r="184" spans="2:31" ht="105">
      <c r="B184" s="1" t="s">
        <v>511</v>
      </c>
      <c r="C184" t="s">
        <v>512</v>
      </c>
      <c r="D184" s="1" t="s">
        <v>513</v>
      </c>
      <c r="E184" s="1" t="e">
        <f>VLOOKUP(Z184,[1]LicenseDuration_ID!$A$2:$B$8,2,FALSE)</f>
        <v>#N/A</v>
      </c>
      <c r="F184" s="1" t="e">
        <f>VLOOKUP(AA184,[1]MaintenanceDuration_ID!$A$2:$B$5,2,FALSE)</f>
        <v>#N/A</v>
      </c>
      <c r="G184" s="1" t="e">
        <f>VLOOKUP(V184,[1]ExpectedDeliveryTime_ID!$A$2:$B$12,2,FALSE)</f>
        <v>#N/A</v>
      </c>
      <c r="H184" s="1" t="e">
        <f>VLOOKUP(AC184,[1]PaymentModel_ID!$A$2:$B$7,2,FALSE)</f>
        <v>#N/A</v>
      </c>
      <c r="I184" s="1" t="e">
        <f>VLOOKUP(W184,[1]ExpectedInvoiceDate_ID!$A$2:$B$12,2,FALSE)</f>
        <v>#N/A</v>
      </c>
      <c r="J184" s="1" t="e">
        <f>VLOOKUP(X184,[1]GrantOfRights_ID!$A$2:$B$7,2,FALSE)</f>
        <v>#N/A</v>
      </c>
      <c r="K184" s="1" t="str">
        <f>VLOOKUP(AE184,[1]Profile!$A$2:$B$8,2,FALSE)</f>
        <v>License</v>
      </c>
      <c r="M184" s="1" t="str">
        <f>VLOOKUP(Y184,[1]License_Method_ID!$A$2:$B$13,2,FALSE)</f>
        <v>ADTF Node-Locked License File</v>
      </c>
      <c r="N184" s="1" t="s">
        <v>47</v>
      </c>
      <c r="O184" s="1">
        <v>10</v>
      </c>
      <c r="Q184" s="1" t="str">
        <f>VLOOKUP(AB184,[1]Operational_Profit_Type_ID!$A$2:$B$3,2,FALSE)</f>
        <v>Calculated</v>
      </c>
      <c r="R184" s="1" t="s">
        <v>48</v>
      </c>
      <c r="T184" s="1" t="str">
        <f>VLOOKUP(AD184,[1]UpdateRightID!$A$2:$B$4,2,FALSE)</f>
        <v>UpdateRightByConfiguration</v>
      </c>
      <c r="U184" s="1" t="s">
        <v>48</v>
      </c>
      <c r="Y184" s="1">
        <v>7</v>
      </c>
      <c r="AB184" s="1">
        <v>2</v>
      </c>
      <c r="AD184" s="1">
        <v>1</v>
      </c>
      <c r="AE184" s="1">
        <v>1</v>
      </c>
    </row>
    <row r="185" spans="2:31" ht="409.5">
      <c r="B185" s="1" t="s">
        <v>514</v>
      </c>
      <c r="C185" t="s">
        <v>515</v>
      </c>
      <c r="D185" s="1" t="s">
        <v>516</v>
      </c>
      <c r="E185" s="1" t="e">
        <f>VLOOKUP(Z185,[1]LicenseDuration_ID!$A$2:$B$8,2,FALSE)</f>
        <v>#N/A</v>
      </c>
      <c r="F185" s="1" t="e">
        <f>VLOOKUP(AA185,[1]MaintenanceDuration_ID!$A$2:$B$5,2,FALSE)</f>
        <v>#N/A</v>
      </c>
      <c r="G185" s="1" t="e">
        <f>VLOOKUP(V185,[1]ExpectedDeliveryTime_ID!$A$2:$B$12,2,FALSE)</f>
        <v>#N/A</v>
      </c>
      <c r="H185" s="1" t="e">
        <f>VLOOKUP(AC185,[1]PaymentModel_ID!$A$2:$B$7,2,FALSE)</f>
        <v>#N/A</v>
      </c>
      <c r="I185" s="1" t="e">
        <f>VLOOKUP(W185,[1]ExpectedInvoiceDate_ID!$A$2:$B$12,2,FALSE)</f>
        <v>#N/A</v>
      </c>
      <c r="J185" s="1" t="e">
        <f>VLOOKUP(X185,[1]GrantOfRights_ID!$A$2:$B$7,2,FALSE)</f>
        <v>#N/A</v>
      </c>
      <c r="K185" s="1" t="str">
        <f>VLOOKUP(AE185,[1]Profile!$A$2:$B$8,2,FALSE)</f>
        <v>Qualification Package</v>
      </c>
      <c r="M185" s="1" t="str">
        <f>VLOOKUP(Y185,[1]License_Method_ID!$A$2:$B$13,2,FALSE)</f>
        <v>no technical license protection</v>
      </c>
      <c r="O185" s="1">
        <v>10</v>
      </c>
      <c r="P185" s="1">
        <v>50</v>
      </c>
      <c r="Q185" s="1" t="str">
        <f>VLOOKUP(AB185,[1]Operational_Profit_Type_ID!$A$2:$B$3,2,FALSE)</f>
        <v>Fix rate</v>
      </c>
      <c r="R185" s="1" t="s">
        <v>55</v>
      </c>
      <c r="T185" s="1" t="str">
        <f>VLOOKUP(AD185,[1]UpdateRightID!$A$2:$B$4,2,FALSE)</f>
        <v>none</v>
      </c>
      <c r="U185" s="1" t="s">
        <v>48</v>
      </c>
      <c r="Y185" s="1">
        <v>0</v>
      </c>
      <c r="AB185" s="1">
        <v>1</v>
      </c>
      <c r="AD185" s="1">
        <v>0</v>
      </c>
      <c r="AE185" s="1">
        <v>3</v>
      </c>
    </row>
    <row r="186" spans="2:31" ht="409.5">
      <c r="B186" s="1" t="s">
        <v>517</v>
      </c>
      <c r="C186" t="s">
        <v>518</v>
      </c>
      <c r="D186" s="1" t="s">
        <v>519</v>
      </c>
      <c r="E186" s="1" t="e">
        <f>VLOOKUP(Z186,[1]LicenseDuration_ID!$A$2:$B$8,2,FALSE)</f>
        <v>#N/A</v>
      </c>
      <c r="F186" s="1" t="e">
        <f>VLOOKUP(AA186,[1]MaintenanceDuration_ID!$A$2:$B$5,2,FALSE)</f>
        <v>#N/A</v>
      </c>
      <c r="G186" s="1" t="e">
        <f>VLOOKUP(V186,[1]ExpectedDeliveryTime_ID!$A$2:$B$12,2,FALSE)</f>
        <v>#N/A</v>
      </c>
      <c r="H186" s="1" t="e">
        <f>VLOOKUP(AC186,[1]PaymentModel_ID!$A$2:$B$7,2,FALSE)</f>
        <v>#N/A</v>
      </c>
      <c r="I186" s="1" t="e">
        <f>VLOOKUP(W186,[1]ExpectedInvoiceDate_ID!$A$2:$B$12,2,FALSE)</f>
        <v>#N/A</v>
      </c>
      <c r="J186" s="1" t="e">
        <f>VLOOKUP(X186,[1]GrantOfRights_ID!$A$2:$B$7,2,FALSE)</f>
        <v>#N/A</v>
      </c>
      <c r="K186" s="1" t="str">
        <f>VLOOKUP(AE186,[1]Profile!$A$2:$B$8,2,FALSE)</f>
        <v>Qualification Package</v>
      </c>
      <c r="M186" s="1" t="str">
        <f>VLOOKUP(Y186,[1]License_Method_ID!$A$2:$B$13,2,FALSE)</f>
        <v>no technical license protection</v>
      </c>
      <c r="O186" s="1">
        <v>10</v>
      </c>
      <c r="P186" s="1">
        <v>50</v>
      </c>
      <c r="Q186" s="1" t="str">
        <f>VLOOKUP(AB186,[1]Operational_Profit_Type_ID!$A$2:$B$3,2,FALSE)</f>
        <v>Fix rate</v>
      </c>
      <c r="R186" s="1" t="s">
        <v>55</v>
      </c>
      <c r="T186" s="1" t="str">
        <f>VLOOKUP(AD186,[1]UpdateRightID!$A$2:$B$4,2,FALSE)</f>
        <v>none</v>
      </c>
      <c r="U186" s="1" t="s">
        <v>48</v>
      </c>
      <c r="Y186" s="1">
        <v>0</v>
      </c>
      <c r="AB186" s="1">
        <v>1</v>
      </c>
      <c r="AD186" s="1">
        <v>0</v>
      </c>
      <c r="AE186" s="1">
        <v>3</v>
      </c>
    </row>
    <row r="187" spans="2:31" ht="409.5">
      <c r="B187" s="1" t="s">
        <v>520</v>
      </c>
      <c r="C187" t="s">
        <v>521</v>
      </c>
      <c r="D187" s="1" t="s">
        <v>522</v>
      </c>
      <c r="E187" s="1" t="e">
        <f>VLOOKUP(Z187,[1]LicenseDuration_ID!$A$2:$B$8,2,FALSE)</f>
        <v>#N/A</v>
      </c>
      <c r="F187" s="1" t="e">
        <f>VLOOKUP(AA187,[1]MaintenanceDuration_ID!$A$2:$B$5,2,FALSE)</f>
        <v>#N/A</v>
      </c>
      <c r="G187" s="1" t="e">
        <f>VLOOKUP(V187,[1]ExpectedDeliveryTime_ID!$A$2:$B$12,2,FALSE)</f>
        <v>#N/A</v>
      </c>
      <c r="H187" s="1" t="e">
        <f>VLOOKUP(AC187,[1]PaymentModel_ID!$A$2:$B$7,2,FALSE)</f>
        <v>#N/A</v>
      </c>
      <c r="I187" s="1" t="e">
        <f>VLOOKUP(W187,[1]ExpectedInvoiceDate_ID!$A$2:$B$12,2,FALSE)</f>
        <v>#N/A</v>
      </c>
      <c r="J187" s="1" t="e">
        <f>VLOOKUP(X187,[1]GrantOfRights_ID!$A$2:$B$7,2,FALSE)</f>
        <v>#N/A</v>
      </c>
      <c r="K187" s="1" t="str">
        <f>VLOOKUP(AE187,[1]Profile!$A$2:$B$8,2,FALSE)</f>
        <v>Qualification Package</v>
      </c>
      <c r="M187" s="1" t="str">
        <f>VLOOKUP(Y187,[1]License_Method_ID!$A$2:$B$13,2,FALSE)</f>
        <v>no technical license protection</v>
      </c>
      <c r="O187" s="1">
        <v>10</v>
      </c>
      <c r="P187" s="1">
        <v>50</v>
      </c>
      <c r="Q187" s="1" t="str">
        <f>VLOOKUP(AB187,[1]Operational_Profit_Type_ID!$A$2:$B$3,2,FALSE)</f>
        <v>Fix rate</v>
      </c>
      <c r="R187" s="1" t="s">
        <v>55</v>
      </c>
      <c r="T187" s="1" t="str">
        <f>VLOOKUP(AD187,[1]UpdateRightID!$A$2:$B$4,2,FALSE)</f>
        <v>none</v>
      </c>
      <c r="U187" s="1" t="s">
        <v>48</v>
      </c>
      <c r="Y187" s="1">
        <v>0</v>
      </c>
      <c r="AB187" s="1">
        <v>1</v>
      </c>
      <c r="AD187" s="1">
        <v>0</v>
      </c>
      <c r="AE187" s="1">
        <v>3</v>
      </c>
    </row>
    <row r="188" spans="2:31" ht="210">
      <c r="B188" s="1" t="s">
        <v>523</v>
      </c>
      <c r="C188" t="s">
        <v>524</v>
      </c>
      <c r="D188" s="1" t="s">
        <v>525</v>
      </c>
      <c r="E188" s="1" t="e">
        <f>VLOOKUP(Z188,[1]LicenseDuration_ID!$A$2:$B$8,2,FALSE)</f>
        <v>#N/A</v>
      </c>
      <c r="F188" s="1" t="e">
        <f>VLOOKUP(AA188,[1]MaintenanceDuration_ID!$A$2:$B$5,2,FALSE)</f>
        <v>#N/A</v>
      </c>
      <c r="G188" s="1" t="e">
        <f>VLOOKUP(V188,[1]ExpectedDeliveryTime_ID!$A$2:$B$12,2,FALSE)</f>
        <v>#N/A</v>
      </c>
      <c r="H188" s="1" t="e">
        <f>VLOOKUP(AC188,[1]PaymentModel_ID!$A$2:$B$7,2,FALSE)</f>
        <v>#N/A</v>
      </c>
      <c r="I188" s="1" t="e">
        <f>VLOOKUP(W188,[1]ExpectedInvoiceDate_ID!$A$2:$B$12,2,FALSE)</f>
        <v>#N/A</v>
      </c>
      <c r="J188" s="1" t="e">
        <f>VLOOKUP(X188,[1]GrantOfRights_ID!$A$2:$B$7,2,FALSE)</f>
        <v>#N/A</v>
      </c>
      <c r="K188" s="1" t="str">
        <f>VLOOKUP(AE188,[1]Profile!$A$2:$B$8,2,FALSE)</f>
        <v>Qualification Package</v>
      </c>
      <c r="M188" s="1" t="str">
        <f>VLOOKUP(Y188,[1]License_Method_ID!$A$2:$B$13,2,FALSE)</f>
        <v>no technical license protection</v>
      </c>
      <c r="O188" s="1">
        <v>10</v>
      </c>
      <c r="P188" s="1">
        <v>50</v>
      </c>
      <c r="Q188" s="1" t="str">
        <f>VLOOKUP(AB188,[1]Operational_Profit_Type_ID!$A$2:$B$3,2,FALSE)</f>
        <v>Fix rate</v>
      </c>
      <c r="R188" s="1" t="s">
        <v>55</v>
      </c>
      <c r="T188" s="1" t="str">
        <f>VLOOKUP(AD188,[1]UpdateRightID!$A$2:$B$4,2,FALSE)</f>
        <v>none</v>
      </c>
      <c r="U188" s="1" t="s">
        <v>48</v>
      </c>
      <c r="Y188" s="1">
        <v>0</v>
      </c>
      <c r="AB188" s="1">
        <v>1</v>
      </c>
      <c r="AD188" s="1">
        <v>0</v>
      </c>
      <c r="AE188" s="1">
        <v>3</v>
      </c>
    </row>
    <row r="189" spans="2:31" ht="409.5">
      <c r="B189" s="1" t="s">
        <v>526</v>
      </c>
      <c r="C189" t="s">
        <v>527</v>
      </c>
      <c r="D189" s="1" t="s">
        <v>528</v>
      </c>
      <c r="E189" s="1" t="e">
        <f>VLOOKUP(Z189,[1]LicenseDuration_ID!$A$2:$B$8,2,FALSE)</f>
        <v>#N/A</v>
      </c>
      <c r="F189" s="1" t="e">
        <f>VLOOKUP(AA189,[1]MaintenanceDuration_ID!$A$2:$B$5,2,FALSE)</f>
        <v>#N/A</v>
      </c>
      <c r="G189" s="1" t="e">
        <f>VLOOKUP(V189,[1]ExpectedDeliveryTime_ID!$A$2:$B$12,2,FALSE)</f>
        <v>#N/A</v>
      </c>
      <c r="H189" s="1" t="e">
        <f>VLOOKUP(AC189,[1]PaymentModel_ID!$A$2:$B$7,2,FALSE)</f>
        <v>#N/A</v>
      </c>
      <c r="I189" s="1" t="e">
        <f>VLOOKUP(W189,[1]ExpectedInvoiceDate_ID!$A$2:$B$12,2,FALSE)</f>
        <v>#N/A</v>
      </c>
      <c r="J189" s="1" t="e">
        <f>VLOOKUP(X189,[1]GrantOfRights_ID!$A$2:$B$7,2,FALSE)</f>
        <v>#N/A</v>
      </c>
      <c r="K189" s="1" t="str">
        <f>VLOOKUP(AE189,[1]Profile!$A$2:$B$8,2,FALSE)</f>
        <v>Qualification Package</v>
      </c>
      <c r="M189" s="1" t="str">
        <f>VLOOKUP(Y189,[1]License_Method_ID!$A$2:$B$13,2,FALSE)</f>
        <v>no technical license protection</v>
      </c>
      <c r="O189" s="1">
        <v>10</v>
      </c>
      <c r="P189" s="1">
        <v>50</v>
      </c>
      <c r="Q189" s="1" t="str">
        <f>VLOOKUP(AB189,[1]Operational_Profit_Type_ID!$A$2:$B$3,2,FALSE)</f>
        <v>Fix rate</v>
      </c>
      <c r="R189" s="1" t="s">
        <v>55</v>
      </c>
      <c r="T189" s="1" t="str">
        <f>VLOOKUP(AD189,[1]UpdateRightID!$A$2:$B$4,2,FALSE)</f>
        <v>none</v>
      </c>
      <c r="U189" s="1" t="s">
        <v>48</v>
      </c>
      <c r="Y189" s="1">
        <v>0</v>
      </c>
      <c r="AB189" s="1">
        <v>1</v>
      </c>
      <c r="AD189" s="1">
        <v>0</v>
      </c>
      <c r="AE189" s="1">
        <v>3</v>
      </c>
    </row>
    <row r="190" spans="2:31" ht="30">
      <c r="B190" s="1" t="s">
        <v>529</v>
      </c>
      <c r="C190" t="s">
        <v>530</v>
      </c>
      <c r="E190" s="1" t="e">
        <f>VLOOKUP(Z190,[1]LicenseDuration_ID!$A$2:$B$8,2,FALSE)</f>
        <v>#N/A</v>
      </c>
      <c r="F190" s="1" t="e">
        <f>VLOOKUP(AA190,[1]MaintenanceDuration_ID!$A$2:$B$5,2,FALSE)</f>
        <v>#N/A</v>
      </c>
      <c r="G190" s="1" t="e">
        <f>VLOOKUP(V190,[1]ExpectedDeliveryTime_ID!$A$2:$B$12,2,FALSE)</f>
        <v>#N/A</v>
      </c>
      <c r="H190" s="1" t="e">
        <f>VLOOKUP(AC190,[1]PaymentModel_ID!$A$2:$B$7,2,FALSE)</f>
        <v>#N/A</v>
      </c>
      <c r="I190" s="1" t="e">
        <f>VLOOKUP(W190,[1]ExpectedInvoiceDate_ID!$A$2:$B$12,2,FALSE)</f>
        <v>#N/A</v>
      </c>
      <c r="J190" s="1" t="e">
        <f>VLOOKUP(X190,[1]GrantOfRights_ID!$A$2:$B$7,2,FALSE)</f>
        <v>#N/A</v>
      </c>
      <c r="K190" s="1" t="str">
        <f>VLOOKUP(AE190,[1]Profile!$A$2:$B$8,2,FALSE)</f>
        <v>Qualification Package</v>
      </c>
      <c r="M190" s="1" t="str">
        <f>VLOOKUP(Y190,[1]License_Method_ID!$A$2:$B$13,2,FALSE)</f>
        <v>no technical license protection</v>
      </c>
      <c r="O190" s="1">
        <v>10</v>
      </c>
      <c r="P190" s="1">
        <v>50</v>
      </c>
      <c r="Q190" s="1" t="str">
        <f>VLOOKUP(AB190,[1]Operational_Profit_Type_ID!$A$2:$B$3,2,FALSE)</f>
        <v>Fix rate</v>
      </c>
      <c r="R190" s="1" t="s">
        <v>55</v>
      </c>
      <c r="T190" s="1" t="str">
        <f>VLOOKUP(AD190,[1]UpdateRightID!$A$2:$B$4,2,FALSE)</f>
        <v>none</v>
      </c>
      <c r="U190" s="1" t="s">
        <v>48</v>
      </c>
      <c r="Y190" s="1">
        <v>0</v>
      </c>
      <c r="AB190" s="1">
        <v>1</v>
      </c>
      <c r="AD190" s="1">
        <v>0</v>
      </c>
      <c r="AE190" s="1">
        <v>3</v>
      </c>
    </row>
    <row r="191" spans="2:31" ht="30">
      <c r="B191" s="1" t="s">
        <v>531</v>
      </c>
      <c r="C191" t="s">
        <v>532</v>
      </c>
      <c r="E191" s="1" t="e">
        <f>VLOOKUP(Z191,[1]LicenseDuration_ID!$A$2:$B$8,2,FALSE)</f>
        <v>#N/A</v>
      </c>
      <c r="F191" s="1" t="e">
        <f>VLOOKUP(AA191,[1]MaintenanceDuration_ID!$A$2:$B$5,2,FALSE)</f>
        <v>#N/A</v>
      </c>
      <c r="G191" s="1" t="e">
        <f>VLOOKUP(V191,[1]ExpectedDeliveryTime_ID!$A$2:$B$12,2,FALSE)</f>
        <v>#N/A</v>
      </c>
      <c r="H191" s="1" t="e">
        <f>VLOOKUP(AC191,[1]PaymentModel_ID!$A$2:$B$7,2,FALSE)</f>
        <v>#N/A</v>
      </c>
      <c r="I191" s="1" t="e">
        <f>VLOOKUP(W191,[1]ExpectedInvoiceDate_ID!$A$2:$B$12,2,FALSE)</f>
        <v>#N/A</v>
      </c>
      <c r="J191" s="1" t="e">
        <f>VLOOKUP(X191,[1]GrantOfRights_ID!$A$2:$B$7,2,FALSE)</f>
        <v>#N/A</v>
      </c>
      <c r="K191" s="1" t="str">
        <f>VLOOKUP(AE191,[1]Profile!$A$2:$B$8,2,FALSE)</f>
        <v>Qualification Package</v>
      </c>
      <c r="M191" s="1" t="str">
        <f>VLOOKUP(Y191,[1]License_Method_ID!$A$2:$B$13,2,FALSE)</f>
        <v>no technical license protection</v>
      </c>
      <c r="O191" s="1">
        <v>10</v>
      </c>
      <c r="P191" s="1">
        <v>50</v>
      </c>
      <c r="Q191" s="1" t="str">
        <f>VLOOKUP(AB191,[1]Operational_Profit_Type_ID!$A$2:$B$3,2,FALSE)</f>
        <v>Fix rate</v>
      </c>
      <c r="R191" s="1" t="s">
        <v>55</v>
      </c>
      <c r="T191" s="1" t="str">
        <f>VLOOKUP(AD191,[1]UpdateRightID!$A$2:$B$4,2,FALSE)</f>
        <v>none</v>
      </c>
      <c r="U191" s="1" t="s">
        <v>48</v>
      </c>
      <c r="Y191" s="1">
        <v>0</v>
      </c>
      <c r="AB191" s="1">
        <v>1</v>
      </c>
      <c r="AD191" s="1">
        <v>0</v>
      </c>
      <c r="AE191" s="1">
        <v>3</v>
      </c>
    </row>
    <row r="192" spans="2:31" ht="30">
      <c r="B192" s="1" t="s">
        <v>533</v>
      </c>
      <c r="C192" t="s">
        <v>534</v>
      </c>
      <c r="E192" s="1" t="e">
        <f>VLOOKUP(Z192,[1]LicenseDuration_ID!$A$2:$B$8,2,FALSE)</f>
        <v>#N/A</v>
      </c>
      <c r="F192" s="1" t="e">
        <f>VLOOKUP(AA192,[1]MaintenanceDuration_ID!$A$2:$B$5,2,FALSE)</f>
        <v>#N/A</v>
      </c>
      <c r="G192" s="1" t="e">
        <f>VLOOKUP(V192,[1]ExpectedDeliveryTime_ID!$A$2:$B$12,2,FALSE)</f>
        <v>#N/A</v>
      </c>
      <c r="H192" s="1" t="e">
        <f>VLOOKUP(AC192,[1]PaymentModel_ID!$A$2:$B$7,2,FALSE)</f>
        <v>#N/A</v>
      </c>
      <c r="I192" s="1" t="e">
        <f>VLOOKUP(W192,[1]ExpectedInvoiceDate_ID!$A$2:$B$12,2,FALSE)</f>
        <v>#N/A</v>
      </c>
      <c r="J192" s="1" t="e">
        <f>VLOOKUP(X192,[1]GrantOfRights_ID!$A$2:$B$7,2,FALSE)</f>
        <v>#N/A</v>
      </c>
      <c r="K192" s="1" t="str">
        <f>VLOOKUP(AE192,[1]Profile!$A$2:$B$8,2,FALSE)</f>
        <v>Qualification Package</v>
      </c>
      <c r="M192" s="1" t="str">
        <f>VLOOKUP(Y192,[1]License_Method_ID!$A$2:$B$13,2,FALSE)</f>
        <v>no technical license protection</v>
      </c>
      <c r="O192" s="1">
        <v>10</v>
      </c>
      <c r="P192" s="1">
        <v>50</v>
      </c>
      <c r="Q192" s="1" t="str">
        <f>VLOOKUP(AB192,[1]Operational_Profit_Type_ID!$A$2:$B$3,2,FALSE)</f>
        <v>Fix rate</v>
      </c>
      <c r="R192" s="1" t="s">
        <v>55</v>
      </c>
      <c r="T192" s="1" t="str">
        <f>VLOOKUP(AD192,[1]UpdateRightID!$A$2:$B$4,2,FALSE)</f>
        <v>none</v>
      </c>
      <c r="U192" s="1" t="s">
        <v>48</v>
      </c>
      <c r="Y192" s="1">
        <v>0</v>
      </c>
      <c r="AB192" s="1">
        <v>1</v>
      </c>
      <c r="AD192" s="1">
        <v>0</v>
      </c>
      <c r="AE192" s="1">
        <v>3</v>
      </c>
    </row>
    <row r="193" spans="2:31" ht="30">
      <c r="B193" s="1" t="s">
        <v>535</v>
      </c>
      <c r="C193" t="s">
        <v>536</v>
      </c>
      <c r="E193" s="1" t="e">
        <f>VLOOKUP(Z193,[1]LicenseDuration_ID!$A$2:$B$8,2,FALSE)</f>
        <v>#N/A</v>
      </c>
      <c r="F193" s="1" t="e">
        <f>VLOOKUP(AA193,[1]MaintenanceDuration_ID!$A$2:$B$5,2,FALSE)</f>
        <v>#N/A</v>
      </c>
      <c r="G193" s="1" t="e">
        <f>VLOOKUP(V193,[1]ExpectedDeliveryTime_ID!$A$2:$B$12,2,FALSE)</f>
        <v>#N/A</v>
      </c>
      <c r="H193" s="1" t="e">
        <f>VLOOKUP(AC193,[1]PaymentModel_ID!$A$2:$B$7,2,FALSE)</f>
        <v>#N/A</v>
      </c>
      <c r="I193" s="1" t="e">
        <f>VLOOKUP(W193,[1]ExpectedInvoiceDate_ID!$A$2:$B$12,2,FALSE)</f>
        <v>#N/A</v>
      </c>
      <c r="J193" s="1" t="e">
        <f>VLOOKUP(X193,[1]GrantOfRights_ID!$A$2:$B$7,2,FALSE)</f>
        <v>#N/A</v>
      </c>
      <c r="K193" s="1" t="str">
        <f>VLOOKUP(AE193,[1]Profile!$A$2:$B$8,2,FALSE)</f>
        <v>Qualification Package</v>
      </c>
      <c r="M193" s="1" t="str">
        <f>VLOOKUP(Y193,[1]License_Method_ID!$A$2:$B$13,2,FALSE)</f>
        <v>no technical license protection</v>
      </c>
      <c r="O193" s="1">
        <v>10</v>
      </c>
      <c r="P193" s="1">
        <v>50</v>
      </c>
      <c r="Q193" s="1" t="str">
        <f>VLOOKUP(AB193,[1]Operational_Profit_Type_ID!$A$2:$B$3,2,FALSE)</f>
        <v>Fix rate</v>
      </c>
      <c r="R193" s="1" t="s">
        <v>55</v>
      </c>
      <c r="T193" s="1" t="str">
        <f>VLOOKUP(AD193,[1]UpdateRightID!$A$2:$B$4,2,FALSE)</f>
        <v>none</v>
      </c>
      <c r="U193" s="1" t="s">
        <v>48</v>
      </c>
      <c r="Y193" s="1">
        <v>0</v>
      </c>
      <c r="AB193" s="1">
        <v>1</v>
      </c>
      <c r="AD193" s="1">
        <v>0</v>
      </c>
      <c r="AE193" s="1">
        <v>3</v>
      </c>
    </row>
    <row r="194" spans="2:31" ht="30">
      <c r="B194" s="1" t="s">
        <v>537</v>
      </c>
      <c r="C194" t="s">
        <v>538</v>
      </c>
      <c r="E194" s="1" t="e">
        <f>VLOOKUP(Z194,[1]LicenseDuration_ID!$A$2:$B$8,2,FALSE)</f>
        <v>#N/A</v>
      </c>
      <c r="F194" s="1" t="e">
        <f>VLOOKUP(AA194,[1]MaintenanceDuration_ID!$A$2:$B$5,2,FALSE)</f>
        <v>#N/A</v>
      </c>
      <c r="G194" s="1" t="e">
        <f>VLOOKUP(V194,[1]ExpectedDeliveryTime_ID!$A$2:$B$12,2,FALSE)</f>
        <v>#N/A</v>
      </c>
      <c r="H194" s="1" t="e">
        <f>VLOOKUP(AC194,[1]PaymentModel_ID!$A$2:$B$7,2,FALSE)</f>
        <v>#N/A</v>
      </c>
      <c r="I194" s="1" t="e">
        <f>VLOOKUP(W194,[1]ExpectedInvoiceDate_ID!$A$2:$B$12,2,FALSE)</f>
        <v>#N/A</v>
      </c>
      <c r="J194" s="1" t="e">
        <f>VLOOKUP(X194,[1]GrantOfRights_ID!$A$2:$B$7,2,FALSE)</f>
        <v>#N/A</v>
      </c>
      <c r="K194" s="1" t="str">
        <f>VLOOKUP(AE194,[1]Profile!$A$2:$B$8,2,FALSE)</f>
        <v>Qualification Package</v>
      </c>
      <c r="M194" s="1" t="str">
        <f>VLOOKUP(Y194,[1]License_Method_ID!$A$2:$B$13,2,FALSE)</f>
        <v>no technical license protection</v>
      </c>
      <c r="O194" s="1">
        <v>10</v>
      </c>
      <c r="P194" s="1">
        <v>50</v>
      </c>
      <c r="Q194" s="1" t="str">
        <f>VLOOKUP(AB194,[1]Operational_Profit_Type_ID!$A$2:$B$3,2,FALSE)</f>
        <v>Fix rate</v>
      </c>
      <c r="R194" s="1" t="s">
        <v>55</v>
      </c>
      <c r="T194" s="1" t="str">
        <f>VLOOKUP(AD194,[1]UpdateRightID!$A$2:$B$4,2,FALSE)</f>
        <v>none</v>
      </c>
      <c r="U194" s="1" t="s">
        <v>48</v>
      </c>
      <c r="Y194" s="1">
        <v>0</v>
      </c>
      <c r="AB194" s="1">
        <v>1</v>
      </c>
      <c r="AD194" s="1">
        <v>0</v>
      </c>
      <c r="AE194" s="1">
        <v>3</v>
      </c>
    </row>
    <row r="195" spans="2:31" ht="75">
      <c r="B195" s="1" t="s">
        <v>539</v>
      </c>
      <c r="C195" t="s">
        <v>540</v>
      </c>
      <c r="E195" s="1" t="e">
        <f>VLOOKUP(Z195,[1]LicenseDuration_ID!$A$2:$B$8,2,FALSE)</f>
        <v>#N/A</v>
      </c>
      <c r="F195" s="1" t="e">
        <f>VLOOKUP(AA195,[1]MaintenanceDuration_ID!$A$2:$B$5,2,FALSE)</f>
        <v>#N/A</v>
      </c>
      <c r="G195" s="1" t="e">
        <f>VLOOKUP(V195,[1]ExpectedDeliveryTime_ID!$A$2:$B$12,2,FALSE)</f>
        <v>#N/A</v>
      </c>
      <c r="H195" s="1" t="e">
        <f>VLOOKUP(AC195,[1]PaymentModel_ID!$A$2:$B$7,2,FALSE)</f>
        <v>#N/A</v>
      </c>
      <c r="I195" s="1" t="e">
        <f>VLOOKUP(W195,[1]ExpectedInvoiceDate_ID!$A$2:$B$12,2,FALSE)</f>
        <v>#N/A</v>
      </c>
      <c r="J195" s="1" t="e">
        <f>VLOOKUP(X195,[1]GrantOfRights_ID!$A$2:$B$7,2,FALSE)</f>
        <v>#N/A</v>
      </c>
      <c r="K195" s="1" t="str">
        <f>VLOOKUP(AE195,[1]Profile!$A$2:$B$8,2,FALSE)</f>
        <v>Product related service without profile</v>
      </c>
      <c r="M195" s="1" t="str">
        <f>VLOOKUP(Y195,[1]License_Method_ID!$A$2:$B$13,2,FALSE)</f>
        <v>no technical license protection</v>
      </c>
      <c r="O195" s="1">
        <v>10</v>
      </c>
      <c r="Q195" s="1" t="str">
        <f>VLOOKUP(AB195,[1]Operational_Profit_Type_ID!$A$2:$B$3,2,FALSE)</f>
        <v>Calculated</v>
      </c>
      <c r="R195" s="1" t="s">
        <v>55</v>
      </c>
      <c r="T195" s="1" t="str">
        <f>VLOOKUP(AD195,[1]UpdateRightID!$A$2:$B$4,2,FALSE)</f>
        <v>none</v>
      </c>
      <c r="U195" s="1" t="s">
        <v>48</v>
      </c>
      <c r="Y195" s="1">
        <v>0</v>
      </c>
      <c r="AB195" s="1">
        <v>2</v>
      </c>
      <c r="AD195" s="1">
        <v>0</v>
      </c>
      <c r="AE195" s="1">
        <v>0</v>
      </c>
    </row>
    <row r="196" spans="2:31" ht="30">
      <c r="B196" s="1" t="s">
        <v>541</v>
      </c>
      <c r="C196" t="s">
        <v>542</v>
      </c>
      <c r="E196" s="1" t="e">
        <f>VLOOKUP(Z196,[1]LicenseDuration_ID!$A$2:$B$8,2,FALSE)</f>
        <v>#N/A</v>
      </c>
      <c r="F196" s="1" t="e">
        <f>VLOOKUP(AA196,[1]MaintenanceDuration_ID!$A$2:$B$5,2,FALSE)</f>
        <v>#N/A</v>
      </c>
      <c r="G196" s="1" t="e">
        <f>VLOOKUP(V196,[1]ExpectedDeliveryTime_ID!$A$2:$B$12,2,FALSE)</f>
        <v>#N/A</v>
      </c>
      <c r="H196" s="1" t="e">
        <f>VLOOKUP(AC196,[1]PaymentModel_ID!$A$2:$B$7,2,FALSE)</f>
        <v>#N/A</v>
      </c>
      <c r="I196" s="1" t="e">
        <f>VLOOKUP(W196,[1]ExpectedInvoiceDate_ID!$A$2:$B$12,2,FALSE)</f>
        <v>#N/A</v>
      </c>
      <c r="J196" s="1" t="e">
        <f>VLOOKUP(X196,[1]GrantOfRights_ID!$A$2:$B$7,2,FALSE)</f>
        <v>#N/A</v>
      </c>
      <c r="K196" s="1" t="str">
        <f>VLOOKUP(AE196,[1]Profile!$A$2:$B$8,2,FALSE)</f>
        <v>Qualification Package</v>
      </c>
      <c r="M196" s="1" t="str">
        <f>VLOOKUP(Y196,[1]License_Method_ID!$A$2:$B$13,2,FALSE)</f>
        <v>no technical license protection</v>
      </c>
      <c r="O196" s="1">
        <v>10</v>
      </c>
      <c r="P196" s="1">
        <v>50</v>
      </c>
      <c r="Q196" s="1" t="str">
        <f>VLOOKUP(AB196,[1]Operational_Profit_Type_ID!$A$2:$B$3,2,FALSE)</f>
        <v>Fix rate</v>
      </c>
      <c r="R196" s="1" t="s">
        <v>55</v>
      </c>
      <c r="T196" s="1" t="str">
        <f>VLOOKUP(AD196,[1]UpdateRightID!$A$2:$B$4,2,FALSE)</f>
        <v>none</v>
      </c>
      <c r="U196" s="1" t="s">
        <v>48</v>
      </c>
      <c r="Y196" s="1">
        <v>0</v>
      </c>
      <c r="AB196" s="1">
        <v>1</v>
      </c>
      <c r="AD196" s="1">
        <v>0</v>
      </c>
      <c r="AE196" s="1">
        <v>3</v>
      </c>
    </row>
    <row r="197" spans="2:31" ht="30">
      <c r="B197" s="1" t="s">
        <v>543</v>
      </c>
      <c r="C197" t="s">
        <v>544</v>
      </c>
      <c r="E197" s="1" t="e">
        <f>VLOOKUP(Z197,[1]LicenseDuration_ID!$A$2:$B$8,2,FALSE)</f>
        <v>#N/A</v>
      </c>
      <c r="F197" s="1" t="e">
        <f>VLOOKUP(AA197,[1]MaintenanceDuration_ID!$A$2:$B$5,2,FALSE)</f>
        <v>#N/A</v>
      </c>
      <c r="G197" s="1" t="e">
        <f>VLOOKUP(V197,[1]ExpectedDeliveryTime_ID!$A$2:$B$12,2,FALSE)</f>
        <v>#N/A</v>
      </c>
      <c r="H197" s="1" t="e">
        <f>VLOOKUP(AC197,[1]PaymentModel_ID!$A$2:$B$7,2,FALSE)</f>
        <v>#N/A</v>
      </c>
      <c r="I197" s="1" t="e">
        <f>VLOOKUP(W197,[1]ExpectedInvoiceDate_ID!$A$2:$B$12,2,FALSE)</f>
        <v>#N/A</v>
      </c>
      <c r="J197" s="1" t="e">
        <f>VLOOKUP(X197,[1]GrantOfRights_ID!$A$2:$B$7,2,FALSE)</f>
        <v>#N/A</v>
      </c>
      <c r="K197" s="1" t="str">
        <f>VLOOKUP(AE197,[1]Profile!$A$2:$B$8,2,FALSE)</f>
        <v>Qualification Package</v>
      </c>
      <c r="M197" s="1" t="str">
        <f>VLOOKUP(Y197,[1]License_Method_ID!$A$2:$B$13,2,FALSE)</f>
        <v>no technical license protection</v>
      </c>
      <c r="O197" s="1">
        <v>10</v>
      </c>
      <c r="P197" s="1">
        <v>50</v>
      </c>
      <c r="Q197" s="1" t="str">
        <f>VLOOKUP(AB197,[1]Operational_Profit_Type_ID!$A$2:$B$3,2,FALSE)</f>
        <v>Fix rate</v>
      </c>
      <c r="R197" s="1" t="s">
        <v>55</v>
      </c>
      <c r="T197" s="1" t="str">
        <f>VLOOKUP(AD197,[1]UpdateRightID!$A$2:$B$4,2,FALSE)</f>
        <v>none</v>
      </c>
      <c r="U197" s="1" t="s">
        <v>48</v>
      </c>
      <c r="Y197" s="1">
        <v>0</v>
      </c>
      <c r="AB197" s="1">
        <v>1</v>
      </c>
      <c r="AD197" s="1">
        <v>0</v>
      </c>
      <c r="AE197" s="1">
        <v>3</v>
      </c>
    </row>
    <row r="198" spans="2:31">
      <c r="B198" s="1" t="s">
        <v>545</v>
      </c>
      <c r="C198" t="s">
        <v>546</v>
      </c>
      <c r="E198" s="1" t="e">
        <f>VLOOKUP(Z198,[1]LicenseDuration_ID!$A$2:$B$8,2,FALSE)</f>
        <v>#N/A</v>
      </c>
      <c r="F198" s="1" t="e">
        <f>VLOOKUP(AA198,[1]MaintenanceDuration_ID!$A$2:$B$5,2,FALSE)</f>
        <v>#N/A</v>
      </c>
      <c r="G198" s="1" t="e">
        <f>VLOOKUP(V198,[1]ExpectedDeliveryTime_ID!$A$2:$B$12,2,FALSE)</f>
        <v>#N/A</v>
      </c>
      <c r="H198" s="1" t="e">
        <f>VLOOKUP(AC198,[1]PaymentModel_ID!$A$2:$B$7,2,FALSE)</f>
        <v>#N/A</v>
      </c>
      <c r="I198" s="1" t="e">
        <f>VLOOKUP(W198,[1]ExpectedInvoiceDate_ID!$A$2:$B$12,2,FALSE)</f>
        <v>#N/A</v>
      </c>
      <c r="J198" s="1" t="e">
        <f>VLOOKUP(X198,[1]GrantOfRights_ID!$A$2:$B$7,2,FALSE)</f>
        <v>#N/A</v>
      </c>
      <c r="K198" s="1" t="str">
        <f>VLOOKUP(AE198,[1]Profile!$A$2:$B$8,2,FALSE)</f>
        <v>License</v>
      </c>
      <c r="M198" s="1" t="str">
        <f>VLOOKUP(Y198,[1]License_Method_ID!$A$2:$B$13,2,FALSE)</f>
        <v>no technical license protection</v>
      </c>
      <c r="O198" s="1">
        <v>10</v>
      </c>
      <c r="P198" s="1">
        <v>50</v>
      </c>
      <c r="Q198" s="1" t="str">
        <f>VLOOKUP(AB198,[1]Operational_Profit_Type_ID!$A$2:$B$3,2,FALSE)</f>
        <v>Fix rate</v>
      </c>
      <c r="R198" s="1" t="s">
        <v>55</v>
      </c>
      <c r="T198" s="1" t="str">
        <f>VLOOKUP(AD198,[1]UpdateRightID!$A$2:$B$4,2,FALSE)</f>
        <v>none</v>
      </c>
      <c r="U198" s="1" t="s">
        <v>48</v>
      </c>
      <c r="Y198" s="1">
        <v>0</v>
      </c>
      <c r="AB198" s="1">
        <v>1</v>
      </c>
      <c r="AD198" s="1">
        <v>0</v>
      </c>
      <c r="AE198" s="1">
        <v>1</v>
      </c>
    </row>
    <row r="199" spans="2:31">
      <c r="B199" s="1" t="s">
        <v>547</v>
      </c>
      <c r="C199" t="s">
        <v>548</v>
      </c>
      <c r="E199" s="1" t="e">
        <f>VLOOKUP(Z199,[1]LicenseDuration_ID!$A$2:$B$8,2,FALSE)</f>
        <v>#N/A</v>
      </c>
      <c r="F199" s="1" t="e">
        <f>VLOOKUP(AA199,[1]MaintenanceDuration_ID!$A$2:$B$5,2,FALSE)</f>
        <v>#N/A</v>
      </c>
      <c r="G199" s="1" t="e">
        <f>VLOOKUP(V199,[1]ExpectedDeliveryTime_ID!$A$2:$B$12,2,FALSE)</f>
        <v>#N/A</v>
      </c>
      <c r="H199" s="1" t="e">
        <f>VLOOKUP(AC199,[1]PaymentModel_ID!$A$2:$B$7,2,FALSE)</f>
        <v>#N/A</v>
      </c>
      <c r="I199" s="1" t="e">
        <f>VLOOKUP(W199,[1]ExpectedInvoiceDate_ID!$A$2:$B$12,2,FALSE)</f>
        <v>#N/A</v>
      </c>
      <c r="J199" s="1" t="e">
        <f>VLOOKUP(X199,[1]GrantOfRights_ID!$A$2:$B$7,2,FALSE)</f>
        <v>#N/A</v>
      </c>
      <c r="K199" s="1" t="str">
        <f>VLOOKUP(AE199,[1]Profile!$A$2:$B$8,2,FALSE)</f>
        <v>License</v>
      </c>
      <c r="M199" s="1" t="str">
        <f>VLOOKUP(Y199,[1]License_Method_ID!$A$2:$B$13,2,FALSE)</f>
        <v>no technical license protection</v>
      </c>
      <c r="O199" s="1">
        <v>10</v>
      </c>
      <c r="P199" s="1">
        <v>50</v>
      </c>
      <c r="Q199" s="1" t="str">
        <f>VLOOKUP(AB199,[1]Operational_Profit_Type_ID!$A$2:$B$3,2,FALSE)</f>
        <v>Fix rate</v>
      </c>
      <c r="R199" s="1" t="s">
        <v>55</v>
      </c>
      <c r="T199" s="1" t="str">
        <f>VLOOKUP(AD199,[1]UpdateRightID!$A$2:$B$4,2,FALSE)</f>
        <v>none</v>
      </c>
      <c r="U199" s="1" t="s">
        <v>48</v>
      </c>
      <c r="Y199" s="1">
        <v>0</v>
      </c>
      <c r="AB199" s="1">
        <v>1</v>
      </c>
      <c r="AD199" s="1">
        <v>0</v>
      </c>
      <c r="AE199" s="1">
        <v>1</v>
      </c>
    </row>
    <row r="200" spans="2:31">
      <c r="B200" s="1" t="s">
        <v>549</v>
      </c>
      <c r="C200" t="s">
        <v>550</v>
      </c>
      <c r="E200" s="1" t="e">
        <f>VLOOKUP(Z200,[1]LicenseDuration_ID!$A$2:$B$8,2,FALSE)</f>
        <v>#N/A</v>
      </c>
      <c r="F200" s="1" t="e">
        <f>VLOOKUP(AA200,[1]MaintenanceDuration_ID!$A$2:$B$5,2,FALSE)</f>
        <v>#N/A</v>
      </c>
      <c r="G200" s="1" t="e">
        <f>VLOOKUP(V200,[1]ExpectedDeliveryTime_ID!$A$2:$B$12,2,FALSE)</f>
        <v>#N/A</v>
      </c>
      <c r="H200" s="1" t="e">
        <f>VLOOKUP(AC200,[1]PaymentModel_ID!$A$2:$B$7,2,FALSE)</f>
        <v>#N/A</v>
      </c>
      <c r="I200" s="1" t="e">
        <f>VLOOKUP(W200,[1]ExpectedInvoiceDate_ID!$A$2:$B$12,2,FALSE)</f>
        <v>#N/A</v>
      </c>
      <c r="J200" s="1" t="e">
        <f>VLOOKUP(X200,[1]GrantOfRights_ID!$A$2:$B$7,2,FALSE)</f>
        <v>#N/A</v>
      </c>
      <c r="K200" s="1" t="str">
        <f>VLOOKUP(AE200,[1]Profile!$A$2:$B$8,2,FALSE)</f>
        <v>License</v>
      </c>
      <c r="M200" s="1" t="str">
        <f>VLOOKUP(Y200,[1]License_Method_ID!$A$2:$B$13,2,FALSE)</f>
        <v>no technical license protection</v>
      </c>
      <c r="O200" s="1">
        <v>10</v>
      </c>
      <c r="P200" s="1">
        <v>50</v>
      </c>
      <c r="Q200" s="1" t="str">
        <f>VLOOKUP(AB200,[1]Operational_Profit_Type_ID!$A$2:$B$3,2,FALSE)</f>
        <v>Fix rate</v>
      </c>
      <c r="R200" s="1" t="s">
        <v>55</v>
      </c>
      <c r="T200" s="1" t="str">
        <f>VLOOKUP(AD200,[1]UpdateRightID!$A$2:$B$4,2,FALSE)</f>
        <v>none</v>
      </c>
      <c r="U200" s="1" t="s">
        <v>48</v>
      </c>
      <c r="Y200" s="1">
        <v>0</v>
      </c>
      <c r="AB200" s="1">
        <v>1</v>
      </c>
      <c r="AD200" s="1">
        <v>0</v>
      </c>
      <c r="AE200" s="1">
        <v>1</v>
      </c>
    </row>
    <row r="201" spans="2:31">
      <c r="B201" s="1" t="s">
        <v>551</v>
      </c>
      <c r="C201" t="s">
        <v>552</v>
      </c>
      <c r="E201" s="1" t="e">
        <f>VLOOKUP(Z201,[1]LicenseDuration_ID!$A$2:$B$8,2,FALSE)</f>
        <v>#N/A</v>
      </c>
      <c r="F201" s="1" t="e">
        <f>VLOOKUP(AA201,[1]MaintenanceDuration_ID!$A$2:$B$5,2,FALSE)</f>
        <v>#N/A</v>
      </c>
      <c r="G201" s="1" t="e">
        <f>VLOOKUP(V201,[1]ExpectedDeliveryTime_ID!$A$2:$B$12,2,FALSE)</f>
        <v>#N/A</v>
      </c>
      <c r="H201" s="1" t="e">
        <f>VLOOKUP(AC201,[1]PaymentModel_ID!$A$2:$B$7,2,FALSE)</f>
        <v>#N/A</v>
      </c>
      <c r="I201" s="1" t="e">
        <f>VLOOKUP(W201,[1]ExpectedInvoiceDate_ID!$A$2:$B$12,2,FALSE)</f>
        <v>#N/A</v>
      </c>
      <c r="J201" s="1" t="e">
        <f>VLOOKUP(X201,[1]GrantOfRights_ID!$A$2:$B$7,2,FALSE)</f>
        <v>#N/A</v>
      </c>
      <c r="K201" s="1" t="str">
        <f>VLOOKUP(AE201,[1]Profile!$A$2:$B$8,2,FALSE)</f>
        <v>License</v>
      </c>
      <c r="M201" s="1" t="str">
        <f>VLOOKUP(Y201,[1]License_Method_ID!$A$2:$B$13,2,FALSE)</f>
        <v>no technical license protection</v>
      </c>
      <c r="O201" s="1">
        <v>10</v>
      </c>
      <c r="P201" s="1">
        <v>50</v>
      </c>
      <c r="Q201" s="1" t="str">
        <f>VLOOKUP(AB201,[1]Operational_Profit_Type_ID!$A$2:$B$3,2,FALSE)</f>
        <v>Fix rate</v>
      </c>
      <c r="R201" s="1" t="s">
        <v>55</v>
      </c>
      <c r="T201" s="1" t="str">
        <f>VLOOKUP(AD201,[1]UpdateRightID!$A$2:$B$4,2,FALSE)</f>
        <v>none</v>
      </c>
      <c r="U201" s="1" t="s">
        <v>48</v>
      </c>
      <c r="Y201" s="1">
        <v>0</v>
      </c>
      <c r="AB201" s="1">
        <v>1</v>
      </c>
      <c r="AD201" s="1">
        <v>0</v>
      </c>
      <c r="AE201" s="1">
        <v>1</v>
      </c>
    </row>
    <row r="202" spans="2:31" ht="210">
      <c r="B202" s="1" t="s">
        <v>553</v>
      </c>
      <c r="C202" t="s">
        <v>554</v>
      </c>
      <c r="D202" s="1" t="s">
        <v>323</v>
      </c>
      <c r="E202" s="1" t="e">
        <f>VLOOKUP(Z202,[1]LicenseDuration_ID!$A$2:$B$8,2,FALSE)</f>
        <v>#N/A</v>
      </c>
      <c r="F202" s="1" t="e">
        <f>VLOOKUP(AA202,[1]MaintenanceDuration_ID!$A$2:$B$5,2,FALSE)</f>
        <v>#N/A</v>
      </c>
      <c r="G202" s="1" t="e">
        <f>VLOOKUP(V202,[1]ExpectedDeliveryTime_ID!$A$2:$B$12,2,FALSE)</f>
        <v>#N/A</v>
      </c>
      <c r="H202" s="1" t="e">
        <f>VLOOKUP(AC202,[1]PaymentModel_ID!$A$2:$B$7,2,FALSE)</f>
        <v>#N/A</v>
      </c>
      <c r="I202" s="1" t="e">
        <f>VLOOKUP(W202,[1]ExpectedInvoiceDate_ID!$A$2:$B$12,2,FALSE)</f>
        <v>#N/A</v>
      </c>
      <c r="J202" s="1" t="e">
        <f>VLOOKUP(X202,[1]GrantOfRights_ID!$A$2:$B$7,2,FALSE)</f>
        <v>#N/A</v>
      </c>
      <c r="K202" s="1" t="str">
        <f>VLOOKUP(AE202,[1]Profile!$A$2:$B$8,2,FALSE)</f>
        <v>Product related service without profile</v>
      </c>
      <c r="M202" s="1" t="str">
        <f>VLOOKUP(Y202,[1]License_Method_ID!$A$2:$B$13,2,FALSE)</f>
        <v>no technical license protection</v>
      </c>
      <c r="O202" s="1">
        <v>10</v>
      </c>
      <c r="Q202" s="1" t="str">
        <f>VLOOKUP(AB202,[1]Operational_Profit_Type_ID!$A$2:$B$3,2,FALSE)</f>
        <v>Calculated</v>
      </c>
      <c r="R202" s="1" t="s">
        <v>55</v>
      </c>
      <c r="T202" s="1" t="str">
        <f>VLOOKUP(AD202,[1]UpdateRightID!$A$2:$B$4,2,FALSE)</f>
        <v>none</v>
      </c>
      <c r="U202" s="1" t="s">
        <v>48</v>
      </c>
      <c r="Y202" s="1">
        <v>0</v>
      </c>
      <c r="AB202" s="1">
        <v>2</v>
      </c>
      <c r="AD202" s="1">
        <v>0</v>
      </c>
      <c r="AE202" s="1">
        <v>0</v>
      </c>
    </row>
    <row r="203" spans="2:31">
      <c r="B203" s="1" t="s">
        <v>555</v>
      </c>
      <c r="C203" t="s">
        <v>556</v>
      </c>
      <c r="E203" s="1" t="e">
        <f>VLOOKUP(Z203,[1]LicenseDuration_ID!$A$2:$B$8,2,FALSE)</f>
        <v>#N/A</v>
      </c>
      <c r="F203" s="1" t="e">
        <f>VLOOKUP(AA203,[1]MaintenanceDuration_ID!$A$2:$B$5,2,FALSE)</f>
        <v>#N/A</v>
      </c>
      <c r="G203" s="1" t="e">
        <f>VLOOKUP(V203,[1]ExpectedDeliveryTime_ID!$A$2:$B$12,2,FALSE)</f>
        <v>#N/A</v>
      </c>
      <c r="H203" s="1" t="e">
        <f>VLOOKUP(AC203,[1]PaymentModel_ID!$A$2:$B$7,2,FALSE)</f>
        <v>#N/A</v>
      </c>
      <c r="I203" s="1" t="e">
        <f>VLOOKUP(W203,[1]ExpectedInvoiceDate_ID!$A$2:$B$12,2,FALSE)</f>
        <v>#N/A</v>
      </c>
      <c r="J203" s="1" t="e">
        <f>VLOOKUP(X203,[1]GrantOfRights_ID!$A$2:$B$7,2,FALSE)</f>
        <v>#N/A</v>
      </c>
      <c r="K203" s="1" t="str">
        <f>VLOOKUP(AE203,[1]Profile!$A$2:$B$8,2,FALSE)</f>
        <v>License</v>
      </c>
      <c r="M203" s="1" t="str">
        <f>VLOOKUP(Y203,[1]License_Method_ID!$A$2:$B$13,2,FALSE)</f>
        <v>no technical license protection</v>
      </c>
      <c r="O203" s="1">
        <v>10</v>
      </c>
      <c r="P203" s="1">
        <v>50</v>
      </c>
      <c r="Q203" s="1" t="str">
        <f>VLOOKUP(AB203,[1]Operational_Profit_Type_ID!$A$2:$B$3,2,FALSE)</f>
        <v>Fix rate</v>
      </c>
      <c r="R203" s="1" t="s">
        <v>55</v>
      </c>
      <c r="T203" s="1" t="str">
        <f>VLOOKUP(AD203,[1]UpdateRightID!$A$2:$B$4,2,FALSE)</f>
        <v>none</v>
      </c>
      <c r="U203" s="1" t="s">
        <v>48</v>
      </c>
      <c r="Y203" s="1">
        <v>0</v>
      </c>
      <c r="AB203" s="1">
        <v>1</v>
      </c>
      <c r="AD203" s="1">
        <v>0</v>
      </c>
      <c r="AE203" s="1">
        <v>1</v>
      </c>
    </row>
    <row r="204" spans="2:31" ht="75">
      <c r="B204" s="1" t="s">
        <v>557</v>
      </c>
      <c r="C204" t="s">
        <v>558</v>
      </c>
      <c r="E204" s="1" t="e">
        <f>VLOOKUP(Z204,[1]LicenseDuration_ID!$A$2:$B$8,2,FALSE)</f>
        <v>#N/A</v>
      </c>
      <c r="F204" s="1" t="e">
        <f>VLOOKUP(AA204,[1]MaintenanceDuration_ID!$A$2:$B$5,2,FALSE)</f>
        <v>#N/A</v>
      </c>
      <c r="G204" s="1" t="e">
        <f>VLOOKUP(V204,[1]ExpectedDeliveryTime_ID!$A$2:$B$12,2,FALSE)</f>
        <v>#N/A</v>
      </c>
      <c r="H204" s="1" t="e">
        <f>VLOOKUP(AC204,[1]PaymentModel_ID!$A$2:$B$7,2,FALSE)</f>
        <v>#N/A</v>
      </c>
      <c r="I204" s="1" t="e">
        <f>VLOOKUP(W204,[1]ExpectedInvoiceDate_ID!$A$2:$B$12,2,FALSE)</f>
        <v>#N/A</v>
      </c>
      <c r="J204" s="1" t="e">
        <f>VLOOKUP(X204,[1]GrantOfRights_ID!$A$2:$B$7,2,FALSE)</f>
        <v>#N/A</v>
      </c>
      <c r="K204" s="1" t="str">
        <f>VLOOKUP(AE204,[1]Profile!$A$2:$B$8,2,FALSE)</f>
        <v>Product related service without profile</v>
      </c>
      <c r="M204" s="1" t="str">
        <f>VLOOKUP(Y204,[1]License_Method_ID!$A$2:$B$13,2,FALSE)</f>
        <v>no technical license protection</v>
      </c>
      <c r="O204" s="1">
        <v>10</v>
      </c>
      <c r="Q204" s="1" t="str">
        <f>VLOOKUP(AB204,[1]Operational_Profit_Type_ID!$A$2:$B$3,2,FALSE)</f>
        <v>Calculated</v>
      </c>
      <c r="R204" s="1" t="s">
        <v>55</v>
      </c>
      <c r="T204" s="1" t="str">
        <f>VLOOKUP(AD204,[1]UpdateRightID!$A$2:$B$4,2,FALSE)</f>
        <v>none</v>
      </c>
      <c r="U204" s="1" t="s">
        <v>48</v>
      </c>
      <c r="Y204" s="1">
        <v>0</v>
      </c>
      <c r="AB204" s="1">
        <v>2</v>
      </c>
      <c r="AD204" s="1">
        <v>0</v>
      </c>
      <c r="AE204" s="1">
        <v>0</v>
      </c>
    </row>
    <row r="205" spans="2:31" ht="240">
      <c r="B205" s="1" t="s">
        <v>559</v>
      </c>
      <c r="C205" t="s">
        <v>560</v>
      </c>
      <c r="D205" s="1" t="s">
        <v>430</v>
      </c>
      <c r="E205" s="1" t="e">
        <f>VLOOKUP(Z205,[1]LicenseDuration_ID!$A$2:$B$8,2,FALSE)</f>
        <v>#N/A</v>
      </c>
      <c r="F205" s="1" t="e">
        <f>VLOOKUP(AA205,[1]MaintenanceDuration_ID!$A$2:$B$5,2,FALSE)</f>
        <v>#N/A</v>
      </c>
      <c r="G205" s="1" t="e">
        <f>VLOOKUP(V205,[1]ExpectedDeliveryTime_ID!$A$2:$B$12,2,FALSE)</f>
        <v>#N/A</v>
      </c>
      <c r="H205" s="1" t="e">
        <f>VLOOKUP(AC205,[1]PaymentModel_ID!$A$2:$B$7,2,FALSE)</f>
        <v>#N/A</v>
      </c>
      <c r="I205" s="1" t="e">
        <f>VLOOKUP(W205,[1]ExpectedInvoiceDate_ID!$A$2:$B$12,2,FALSE)</f>
        <v>#N/A</v>
      </c>
      <c r="J205" s="1" t="e">
        <f>VLOOKUP(X205,[1]GrantOfRights_ID!$A$2:$B$7,2,FALSE)</f>
        <v>#N/A</v>
      </c>
      <c r="K205" s="1" t="str">
        <f>VLOOKUP(AE205,[1]Profile!$A$2:$B$8,2,FALSE)</f>
        <v>License</v>
      </c>
      <c r="M205" s="1" t="str">
        <f>VLOOKUP(Y205,[1]License_Method_ID!$A$2:$B$13,2,FALSE)</f>
        <v>no technical license protection</v>
      </c>
      <c r="O205" s="1">
        <v>10</v>
      </c>
      <c r="P205" s="1">
        <v>50</v>
      </c>
      <c r="Q205" s="1" t="str">
        <f>VLOOKUP(AB205,[1]Operational_Profit_Type_ID!$A$2:$B$3,2,FALSE)</f>
        <v>Fix rate</v>
      </c>
      <c r="R205" s="1" t="s">
        <v>55</v>
      </c>
      <c r="T205" s="1" t="str">
        <f>VLOOKUP(AD205,[1]UpdateRightID!$A$2:$B$4,2,FALSE)</f>
        <v>none</v>
      </c>
      <c r="U205" s="1" t="s">
        <v>48</v>
      </c>
      <c r="Y205" s="1">
        <v>0</v>
      </c>
      <c r="AB205" s="1">
        <v>1</v>
      </c>
      <c r="AD205" s="1">
        <v>0</v>
      </c>
      <c r="AE205" s="1">
        <v>1</v>
      </c>
    </row>
    <row r="206" spans="2:31" ht="270">
      <c r="B206" s="1" t="s">
        <v>561</v>
      </c>
      <c r="C206" t="s">
        <v>562</v>
      </c>
      <c r="D206" s="1" t="s">
        <v>383</v>
      </c>
      <c r="E206" s="1" t="e">
        <f>VLOOKUP(Z206,[1]LicenseDuration_ID!$A$2:$B$8,2,FALSE)</f>
        <v>#N/A</v>
      </c>
      <c r="F206" s="1" t="e">
        <f>VLOOKUP(AA206,[1]MaintenanceDuration_ID!$A$2:$B$5,2,FALSE)</f>
        <v>#N/A</v>
      </c>
      <c r="G206" s="1" t="e">
        <f>VLOOKUP(V206,[1]ExpectedDeliveryTime_ID!$A$2:$B$12,2,FALSE)</f>
        <v>#N/A</v>
      </c>
      <c r="H206" s="1" t="e">
        <f>VLOOKUP(AC206,[1]PaymentModel_ID!$A$2:$B$7,2,FALSE)</f>
        <v>#N/A</v>
      </c>
      <c r="I206" s="1" t="e">
        <f>VLOOKUP(W206,[1]ExpectedInvoiceDate_ID!$A$2:$B$12,2,FALSE)</f>
        <v>#N/A</v>
      </c>
      <c r="J206" s="1" t="e">
        <f>VLOOKUP(X206,[1]GrantOfRights_ID!$A$2:$B$7,2,FALSE)</f>
        <v>#N/A</v>
      </c>
      <c r="K206" s="1" t="str">
        <f>VLOOKUP(AE206,[1]Profile!$A$2:$B$8,2,FALSE)</f>
        <v>License</v>
      </c>
      <c r="M206" s="1" t="str">
        <f>VLOOKUP(Y206,[1]License_Method_ID!$A$2:$B$13,2,FALSE)</f>
        <v>no technical license protection</v>
      </c>
      <c r="O206" s="1">
        <v>10</v>
      </c>
      <c r="P206" s="1">
        <v>50</v>
      </c>
      <c r="Q206" s="1" t="str">
        <f>VLOOKUP(AB206,[1]Operational_Profit_Type_ID!$A$2:$B$3,2,FALSE)</f>
        <v>Fix rate</v>
      </c>
      <c r="R206" s="1" t="s">
        <v>55</v>
      </c>
      <c r="T206" s="1" t="str">
        <f>VLOOKUP(AD206,[1]UpdateRightID!$A$2:$B$4,2,FALSE)</f>
        <v>none</v>
      </c>
      <c r="U206" s="1" t="s">
        <v>48</v>
      </c>
      <c r="Y206" s="1">
        <v>0</v>
      </c>
      <c r="AB206" s="1">
        <v>1</v>
      </c>
      <c r="AD206" s="1">
        <v>0</v>
      </c>
      <c r="AE206" s="1">
        <v>1</v>
      </c>
    </row>
    <row r="207" spans="2:31" ht="409.5">
      <c r="B207" s="1" t="s">
        <v>563</v>
      </c>
      <c r="C207" t="s">
        <v>564</v>
      </c>
      <c r="D207" s="1" t="s">
        <v>565</v>
      </c>
      <c r="E207" s="1" t="e">
        <f>VLOOKUP(Z207,[1]LicenseDuration_ID!$A$2:$B$8,2,FALSE)</f>
        <v>#N/A</v>
      </c>
      <c r="F207" s="1" t="e">
        <f>VLOOKUP(AA207,[1]MaintenanceDuration_ID!$A$2:$B$5,2,FALSE)</f>
        <v>#N/A</v>
      </c>
      <c r="G207" s="1" t="e">
        <f>VLOOKUP(V207,[1]ExpectedDeliveryTime_ID!$A$2:$B$12,2,FALSE)</f>
        <v>#N/A</v>
      </c>
      <c r="H207" s="1" t="e">
        <f>VLOOKUP(AC207,[1]PaymentModel_ID!$A$2:$B$7,2,FALSE)</f>
        <v>#N/A</v>
      </c>
      <c r="I207" s="1" t="e">
        <f>VLOOKUP(W207,[1]ExpectedInvoiceDate_ID!$A$2:$B$12,2,FALSE)</f>
        <v>#N/A</v>
      </c>
      <c r="J207" s="1" t="e">
        <f>VLOOKUP(X207,[1]GrantOfRights_ID!$A$2:$B$7,2,FALSE)</f>
        <v>#N/A</v>
      </c>
      <c r="K207" s="1" t="str">
        <f>VLOOKUP(AE207,[1]Profile!$A$2:$B$8,2,FALSE)</f>
        <v>License</v>
      </c>
      <c r="M207" s="1" t="str">
        <f>VLOOKUP(Y207,[1]License_Method_ID!$A$2:$B$13,2,FALSE)</f>
        <v>no technical license protection</v>
      </c>
      <c r="O207" s="1">
        <v>10</v>
      </c>
      <c r="P207" s="1">
        <v>50</v>
      </c>
      <c r="Q207" s="1" t="str">
        <f>VLOOKUP(AB207,[1]Operational_Profit_Type_ID!$A$2:$B$3,2,FALSE)</f>
        <v>Fix rate</v>
      </c>
      <c r="R207" s="1" t="s">
        <v>55</v>
      </c>
      <c r="T207" s="1" t="str">
        <f>VLOOKUP(AD207,[1]UpdateRightID!$A$2:$B$4,2,FALSE)</f>
        <v>none</v>
      </c>
      <c r="U207" s="1" t="s">
        <v>48</v>
      </c>
      <c r="Y207" s="1">
        <v>0</v>
      </c>
      <c r="AB207" s="1">
        <v>1</v>
      </c>
      <c r="AD207" s="1">
        <v>0</v>
      </c>
      <c r="AE207" s="1">
        <v>1</v>
      </c>
    </row>
    <row r="208" spans="2:31" ht="409.5">
      <c r="B208" s="1" t="s">
        <v>566</v>
      </c>
      <c r="C208" t="s">
        <v>567</v>
      </c>
      <c r="D208" s="1" t="s">
        <v>568</v>
      </c>
      <c r="E208" s="1" t="e">
        <f>VLOOKUP(Z208,[1]LicenseDuration_ID!$A$2:$B$8,2,FALSE)</f>
        <v>#N/A</v>
      </c>
      <c r="F208" s="1" t="e">
        <f>VLOOKUP(AA208,[1]MaintenanceDuration_ID!$A$2:$B$5,2,FALSE)</f>
        <v>#N/A</v>
      </c>
      <c r="G208" s="1" t="e">
        <f>VLOOKUP(V208,[1]ExpectedDeliveryTime_ID!$A$2:$B$12,2,FALSE)</f>
        <v>#N/A</v>
      </c>
      <c r="H208" s="1" t="e">
        <f>VLOOKUP(AC208,[1]PaymentModel_ID!$A$2:$B$7,2,FALSE)</f>
        <v>#N/A</v>
      </c>
      <c r="I208" s="1" t="e">
        <f>VLOOKUP(W208,[1]ExpectedInvoiceDate_ID!$A$2:$B$12,2,FALSE)</f>
        <v>#N/A</v>
      </c>
      <c r="J208" s="1" t="e">
        <f>VLOOKUP(X208,[1]GrantOfRights_ID!$A$2:$B$7,2,FALSE)</f>
        <v>#N/A</v>
      </c>
      <c r="K208" s="1" t="str">
        <f>VLOOKUP(AE208,[1]Profile!$A$2:$B$8,2,FALSE)</f>
        <v>License</v>
      </c>
      <c r="M208" s="1" t="str">
        <f>VLOOKUP(Y208,[1]License_Method_ID!$A$2:$B$13,2,FALSE)</f>
        <v>no technical license protection</v>
      </c>
      <c r="O208" s="1">
        <v>10</v>
      </c>
      <c r="P208" s="1">
        <v>50</v>
      </c>
      <c r="Q208" s="1" t="str">
        <f>VLOOKUP(AB208,[1]Operational_Profit_Type_ID!$A$2:$B$3,2,FALSE)</f>
        <v>Fix rate</v>
      </c>
      <c r="R208" s="1" t="s">
        <v>55</v>
      </c>
      <c r="T208" s="1" t="str">
        <f>VLOOKUP(AD208,[1]UpdateRightID!$A$2:$B$4,2,FALSE)</f>
        <v>none</v>
      </c>
      <c r="U208" s="1" t="s">
        <v>48</v>
      </c>
      <c r="Y208" s="1">
        <v>0</v>
      </c>
      <c r="AB208" s="1">
        <v>1</v>
      </c>
      <c r="AD208" s="1">
        <v>0</v>
      </c>
      <c r="AE208" s="1">
        <v>1</v>
      </c>
    </row>
    <row r="209" spans="1:31" ht="409.5">
      <c r="B209" s="1" t="s">
        <v>569</v>
      </c>
      <c r="C209" t="s">
        <v>570</v>
      </c>
      <c r="D209" s="1" t="s">
        <v>571</v>
      </c>
      <c r="E209" s="1" t="e">
        <f>VLOOKUP(Z209,[1]LicenseDuration_ID!$A$2:$B$8,2,FALSE)</f>
        <v>#N/A</v>
      </c>
      <c r="F209" s="1" t="e">
        <f>VLOOKUP(AA209,[1]MaintenanceDuration_ID!$A$2:$B$5,2,FALSE)</f>
        <v>#N/A</v>
      </c>
      <c r="G209" s="1" t="e">
        <f>VLOOKUP(V209,[1]ExpectedDeliveryTime_ID!$A$2:$B$12,2,FALSE)</f>
        <v>#N/A</v>
      </c>
      <c r="H209" s="1" t="e">
        <f>VLOOKUP(AC209,[1]PaymentModel_ID!$A$2:$B$7,2,FALSE)</f>
        <v>#N/A</v>
      </c>
      <c r="I209" s="1" t="e">
        <f>VLOOKUP(W209,[1]ExpectedInvoiceDate_ID!$A$2:$B$12,2,FALSE)</f>
        <v>#N/A</v>
      </c>
      <c r="J209" s="1" t="e">
        <f>VLOOKUP(X209,[1]GrantOfRights_ID!$A$2:$B$7,2,FALSE)</f>
        <v>#N/A</v>
      </c>
      <c r="K209" s="1" t="str">
        <f>VLOOKUP(AE209,[1]Profile!$A$2:$B$8,2,FALSE)</f>
        <v>License</v>
      </c>
      <c r="M209" s="1" t="str">
        <f>VLOOKUP(Y209,[1]License_Method_ID!$A$2:$B$13,2,FALSE)</f>
        <v>no technical license protection</v>
      </c>
      <c r="O209" s="1">
        <v>10</v>
      </c>
      <c r="P209" s="1">
        <v>50</v>
      </c>
      <c r="Q209" s="1" t="str">
        <f>VLOOKUP(AB209,[1]Operational_Profit_Type_ID!$A$2:$B$3,2,FALSE)</f>
        <v>Fix rate</v>
      </c>
      <c r="R209" s="1" t="s">
        <v>55</v>
      </c>
      <c r="T209" s="1" t="str">
        <f>VLOOKUP(AD209,[1]UpdateRightID!$A$2:$B$4,2,FALSE)</f>
        <v>none</v>
      </c>
      <c r="U209" s="1" t="s">
        <v>48</v>
      </c>
      <c r="Y209" s="1">
        <v>0</v>
      </c>
      <c r="AB209" s="1">
        <v>1</v>
      </c>
      <c r="AD209" s="1">
        <v>0</v>
      </c>
      <c r="AE209" s="1">
        <v>1</v>
      </c>
    </row>
    <row r="210" spans="1:31" ht="225">
      <c r="B210" s="1" t="s">
        <v>572</v>
      </c>
      <c r="C210" t="s">
        <v>573</v>
      </c>
      <c r="D210" s="1" t="s">
        <v>574</v>
      </c>
      <c r="E210" s="1" t="e">
        <f>VLOOKUP(Z210,[1]LicenseDuration_ID!$A$2:$B$8,2,FALSE)</f>
        <v>#N/A</v>
      </c>
      <c r="F210" s="1" t="e">
        <f>VLOOKUP(AA210,[1]MaintenanceDuration_ID!$A$2:$B$5,2,FALSE)</f>
        <v>#N/A</v>
      </c>
      <c r="G210" s="1" t="e">
        <f>VLOOKUP(V210,[1]ExpectedDeliveryTime_ID!$A$2:$B$12,2,FALSE)</f>
        <v>#N/A</v>
      </c>
      <c r="H210" s="1" t="e">
        <f>VLOOKUP(AC210,[1]PaymentModel_ID!$A$2:$B$7,2,FALSE)</f>
        <v>#N/A</v>
      </c>
      <c r="I210" s="1" t="e">
        <f>VLOOKUP(W210,[1]ExpectedInvoiceDate_ID!$A$2:$B$12,2,FALSE)</f>
        <v>#N/A</v>
      </c>
      <c r="J210" s="1" t="e">
        <f>VLOOKUP(X210,[1]GrantOfRights_ID!$A$2:$B$7,2,FALSE)</f>
        <v>#N/A</v>
      </c>
      <c r="K210" s="1" t="str">
        <f>VLOOKUP(AE210,[1]Profile!$A$2:$B$8,2,FALSE)</f>
        <v>License</v>
      </c>
      <c r="M210" s="1" t="str">
        <f>VLOOKUP(Y210,[1]License_Method_ID!$A$2:$B$13,2,FALSE)</f>
        <v>no technical license protection</v>
      </c>
      <c r="O210" s="1">
        <v>10</v>
      </c>
      <c r="P210" s="1">
        <v>50</v>
      </c>
      <c r="Q210" s="1" t="str">
        <f>VLOOKUP(AB210,[1]Operational_Profit_Type_ID!$A$2:$B$3,2,FALSE)</f>
        <v>Fix rate</v>
      </c>
      <c r="R210" s="1" t="s">
        <v>55</v>
      </c>
      <c r="T210" s="1" t="str">
        <f>VLOOKUP(AD210,[1]UpdateRightID!$A$2:$B$4,2,FALSE)</f>
        <v>none</v>
      </c>
      <c r="U210" s="1" t="s">
        <v>48</v>
      </c>
      <c r="Y210" s="1">
        <v>0</v>
      </c>
      <c r="AB210" s="1">
        <v>1</v>
      </c>
      <c r="AD210" s="1">
        <v>0</v>
      </c>
      <c r="AE210" s="1">
        <v>1</v>
      </c>
    </row>
    <row r="211" spans="1:31" ht="225">
      <c r="B211" s="1" t="s">
        <v>575</v>
      </c>
      <c r="C211" t="s">
        <v>576</v>
      </c>
      <c r="D211" s="1" t="s">
        <v>574</v>
      </c>
      <c r="E211" s="1" t="e">
        <f>VLOOKUP(Z211,[1]LicenseDuration_ID!$A$2:$B$8,2,FALSE)</f>
        <v>#N/A</v>
      </c>
      <c r="F211" s="1" t="e">
        <f>VLOOKUP(AA211,[1]MaintenanceDuration_ID!$A$2:$B$5,2,FALSE)</f>
        <v>#N/A</v>
      </c>
      <c r="G211" s="1" t="e">
        <f>VLOOKUP(V211,[1]ExpectedDeliveryTime_ID!$A$2:$B$12,2,FALSE)</f>
        <v>#N/A</v>
      </c>
      <c r="H211" s="1" t="e">
        <f>VLOOKUP(AC211,[1]PaymentModel_ID!$A$2:$B$7,2,FALSE)</f>
        <v>#N/A</v>
      </c>
      <c r="I211" s="1" t="e">
        <f>VLOOKUP(W211,[1]ExpectedInvoiceDate_ID!$A$2:$B$12,2,FALSE)</f>
        <v>#N/A</v>
      </c>
      <c r="J211" s="1" t="e">
        <f>VLOOKUP(X211,[1]GrantOfRights_ID!$A$2:$B$7,2,FALSE)</f>
        <v>#N/A</v>
      </c>
      <c r="K211" s="1" t="str">
        <f>VLOOKUP(AE211,[1]Profile!$A$2:$B$8,2,FALSE)</f>
        <v>License</v>
      </c>
      <c r="M211" s="1" t="str">
        <f>VLOOKUP(Y211,[1]License_Method_ID!$A$2:$B$13,2,FALSE)</f>
        <v>no technical license protection</v>
      </c>
      <c r="O211" s="1">
        <v>10</v>
      </c>
      <c r="P211" s="1">
        <v>50</v>
      </c>
      <c r="Q211" s="1" t="str">
        <f>VLOOKUP(AB211,[1]Operational_Profit_Type_ID!$A$2:$B$3,2,FALSE)</f>
        <v>Fix rate</v>
      </c>
      <c r="R211" s="1" t="s">
        <v>55</v>
      </c>
      <c r="T211" s="1" t="str">
        <f>VLOOKUP(AD211,[1]UpdateRightID!$A$2:$B$4,2,FALSE)</f>
        <v>none</v>
      </c>
      <c r="U211" s="1" t="s">
        <v>48</v>
      </c>
      <c r="Y211" s="1">
        <v>0</v>
      </c>
      <c r="AB211" s="1">
        <v>1</v>
      </c>
      <c r="AD211" s="1">
        <v>0</v>
      </c>
      <c r="AE211" s="1">
        <v>1</v>
      </c>
    </row>
    <row r="212" spans="1:31" ht="225">
      <c r="B212" s="1" t="s">
        <v>577</v>
      </c>
      <c r="C212" t="s">
        <v>578</v>
      </c>
      <c r="D212" s="1" t="s">
        <v>579</v>
      </c>
      <c r="E212" s="1" t="e">
        <f>VLOOKUP(Z212,[1]LicenseDuration_ID!$A$2:$B$8,2,FALSE)</f>
        <v>#N/A</v>
      </c>
      <c r="F212" s="1" t="e">
        <f>VLOOKUP(AA212,[1]MaintenanceDuration_ID!$A$2:$B$5,2,FALSE)</f>
        <v>#N/A</v>
      </c>
      <c r="G212" s="1" t="e">
        <f>VLOOKUP(V212,[1]ExpectedDeliveryTime_ID!$A$2:$B$12,2,FALSE)</f>
        <v>#N/A</v>
      </c>
      <c r="H212" s="1" t="e">
        <f>VLOOKUP(AC212,[1]PaymentModel_ID!$A$2:$B$7,2,FALSE)</f>
        <v>#N/A</v>
      </c>
      <c r="I212" s="1" t="e">
        <f>VLOOKUP(W212,[1]ExpectedInvoiceDate_ID!$A$2:$B$12,2,FALSE)</f>
        <v>#N/A</v>
      </c>
      <c r="J212" s="1" t="e">
        <f>VLOOKUP(X212,[1]GrantOfRights_ID!$A$2:$B$7,2,FALSE)</f>
        <v>#N/A</v>
      </c>
      <c r="K212" s="1" t="str">
        <f>VLOOKUP(AE212,[1]Profile!$A$2:$B$8,2,FALSE)</f>
        <v>License</v>
      </c>
      <c r="M212" s="1" t="str">
        <f>VLOOKUP(Y212,[1]License_Method_ID!$A$2:$B$13,2,FALSE)</f>
        <v>no technical license protection</v>
      </c>
      <c r="O212" s="1">
        <v>10</v>
      </c>
      <c r="P212" s="1">
        <v>50</v>
      </c>
      <c r="Q212" s="1" t="str">
        <f>VLOOKUP(AB212,[1]Operational_Profit_Type_ID!$A$2:$B$3,2,FALSE)</f>
        <v>Fix rate</v>
      </c>
      <c r="R212" s="1" t="s">
        <v>55</v>
      </c>
      <c r="T212" s="1" t="str">
        <f>VLOOKUP(AD212,[1]UpdateRightID!$A$2:$B$4,2,FALSE)</f>
        <v>none</v>
      </c>
      <c r="U212" s="1" t="s">
        <v>48</v>
      </c>
      <c r="Y212" s="1">
        <v>0</v>
      </c>
      <c r="AB212" s="1">
        <v>1</v>
      </c>
      <c r="AD212" s="1">
        <v>0</v>
      </c>
      <c r="AE212" s="1">
        <v>1</v>
      </c>
    </row>
    <row r="213" spans="1:31" ht="150">
      <c r="B213" s="1" t="s">
        <v>580</v>
      </c>
      <c r="C213" t="s">
        <v>581</v>
      </c>
      <c r="D213" s="1" t="s">
        <v>582</v>
      </c>
      <c r="E213" s="1" t="e">
        <f>VLOOKUP(Z213,[1]LicenseDuration_ID!$A$2:$B$8,2,FALSE)</f>
        <v>#N/A</v>
      </c>
      <c r="F213" s="1" t="e">
        <f>VLOOKUP(AA213,[1]MaintenanceDuration_ID!$A$2:$B$5,2,FALSE)</f>
        <v>#N/A</v>
      </c>
      <c r="G213" s="1" t="e">
        <f>VLOOKUP(V213,[1]ExpectedDeliveryTime_ID!$A$2:$B$12,2,FALSE)</f>
        <v>#N/A</v>
      </c>
      <c r="H213" s="1" t="e">
        <f>VLOOKUP(AC213,[1]PaymentModel_ID!$A$2:$B$7,2,FALSE)</f>
        <v>#N/A</v>
      </c>
      <c r="I213" s="1" t="e">
        <f>VLOOKUP(W213,[1]ExpectedInvoiceDate_ID!$A$2:$B$12,2,FALSE)</f>
        <v>#N/A</v>
      </c>
      <c r="J213" s="1" t="e">
        <f>VLOOKUP(X213,[1]GrantOfRights_ID!$A$2:$B$7,2,FALSE)</f>
        <v>#N/A</v>
      </c>
      <c r="K213" s="1" t="str">
        <f>VLOOKUP(AE213,[1]Profile!$A$2:$B$8,2,FALSE)</f>
        <v>License</v>
      </c>
      <c r="M213" s="1" t="str">
        <f>VLOOKUP(Y213,[1]License_Method_ID!$A$2:$B$13,2,FALSE)</f>
        <v>no technical license protection</v>
      </c>
      <c r="O213" s="1">
        <v>10</v>
      </c>
      <c r="P213" s="1">
        <v>50</v>
      </c>
      <c r="Q213" s="1" t="str">
        <f>VLOOKUP(AB213,[1]Operational_Profit_Type_ID!$A$2:$B$3,2,FALSE)</f>
        <v>Fix rate</v>
      </c>
      <c r="R213" s="1" t="s">
        <v>55</v>
      </c>
      <c r="T213" s="1" t="str">
        <f>VLOOKUP(AD213,[1]UpdateRightID!$A$2:$B$4,2,FALSE)</f>
        <v>none</v>
      </c>
      <c r="U213" s="1" t="s">
        <v>48</v>
      </c>
      <c r="Y213" s="1">
        <v>0</v>
      </c>
      <c r="AB213" s="1">
        <v>1</v>
      </c>
      <c r="AD213" s="1">
        <v>0</v>
      </c>
      <c r="AE213" s="1">
        <v>1</v>
      </c>
    </row>
    <row r="214" spans="1:31" ht="180">
      <c r="B214" s="1" t="s">
        <v>583</v>
      </c>
      <c r="C214" t="s">
        <v>584</v>
      </c>
      <c r="D214" s="1" t="s">
        <v>585</v>
      </c>
      <c r="E214" s="1" t="e">
        <f>VLOOKUP(Z214,[1]LicenseDuration_ID!$A$2:$B$8,2,FALSE)</f>
        <v>#N/A</v>
      </c>
      <c r="F214" s="1" t="e">
        <f>VLOOKUP(AA214,[1]MaintenanceDuration_ID!$A$2:$B$5,2,FALSE)</f>
        <v>#N/A</v>
      </c>
      <c r="G214" s="1" t="e">
        <f>VLOOKUP(V214,[1]ExpectedDeliveryTime_ID!$A$2:$B$12,2,FALSE)</f>
        <v>#N/A</v>
      </c>
      <c r="H214" s="1" t="e">
        <f>VLOOKUP(AC214,[1]PaymentModel_ID!$A$2:$B$7,2,FALSE)</f>
        <v>#N/A</v>
      </c>
      <c r="I214" s="1" t="e">
        <f>VLOOKUP(W214,[1]ExpectedInvoiceDate_ID!$A$2:$B$12,2,FALSE)</f>
        <v>#N/A</v>
      </c>
      <c r="J214" s="1" t="e">
        <f>VLOOKUP(X214,[1]GrantOfRights_ID!$A$2:$B$7,2,FALSE)</f>
        <v>#N/A</v>
      </c>
      <c r="K214" s="1" t="str">
        <f>VLOOKUP(AE214,[1]Profile!$A$2:$B$8,2,FALSE)</f>
        <v>License</v>
      </c>
      <c r="M214" s="1" t="str">
        <f>VLOOKUP(Y214,[1]License_Method_ID!$A$2:$B$13,2,FALSE)</f>
        <v>no technical license protection</v>
      </c>
      <c r="N214" s="1" t="s">
        <v>47</v>
      </c>
      <c r="O214" s="1">
        <v>10</v>
      </c>
      <c r="P214" s="1">
        <v>50</v>
      </c>
      <c r="Q214" s="1" t="str">
        <f>VLOOKUP(AB214,[1]Operational_Profit_Type_ID!$A$2:$B$3,2,FALSE)</f>
        <v>Fix rate</v>
      </c>
      <c r="R214" s="1" t="s">
        <v>48</v>
      </c>
      <c r="T214" s="1" t="str">
        <f>VLOOKUP(AD214,[1]UpdateRightID!$A$2:$B$4,2,FALSE)</f>
        <v>none</v>
      </c>
      <c r="U214" s="1" t="s">
        <v>48</v>
      </c>
      <c r="Y214" s="1">
        <v>0</v>
      </c>
      <c r="AB214" s="1">
        <v>1</v>
      </c>
      <c r="AD214" s="1">
        <v>0</v>
      </c>
      <c r="AE214" s="1">
        <v>1</v>
      </c>
    </row>
    <row r="215" spans="1:31" ht="150">
      <c r="B215" s="1" t="s">
        <v>586</v>
      </c>
      <c r="C215" t="s">
        <v>587</v>
      </c>
      <c r="D215" s="1" t="s">
        <v>582</v>
      </c>
      <c r="E215" s="1" t="e">
        <f>VLOOKUP(Z215,[1]LicenseDuration_ID!$A$2:$B$8,2,FALSE)</f>
        <v>#N/A</v>
      </c>
      <c r="F215" s="1" t="e">
        <f>VLOOKUP(AA215,[1]MaintenanceDuration_ID!$A$2:$B$5,2,FALSE)</f>
        <v>#N/A</v>
      </c>
      <c r="G215" s="1" t="e">
        <f>VLOOKUP(V215,[1]ExpectedDeliveryTime_ID!$A$2:$B$12,2,FALSE)</f>
        <v>#N/A</v>
      </c>
      <c r="H215" s="1" t="e">
        <f>VLOOKUP(AC215,[1]PaymentModel_ID!$A$2:$B$7,2,FALSE)</f>
        <v>#N/A</v>
      </c>
      <c r="I215" s="1" t="e">
        <f>VLOOKUP(W215,[1]ExpectedInvoiceDate_ID!$A$2:$B$12,2,FALSE)</f>
        <v>#N/A</v>
      </c>
      <c r="J215" s="1" t="e">
        <f>VLOOKUP(X215,[1]GrantOfRights_ID!$A$2:$B$7,2,FALSE)</f>
        <v>#N/A</v>
      </c>
      <c r="K215" s="1" t="str">
        <f>VLOOKUP(AE215,[1]Profile!$A$2:$B$8,2,FALSE)</f>
        <v>License</v>
      </c>
      <c r="M215" s="1" t="str">
        <f>VLOOKUP(Y215,[1]License_Method_ID!$A$2:$B$13,2,FALSE)</f>
        <v>no technical license protection</v>
      </c>
      <c r="O215" s="1">
        <v>10</v>
      </c>
      <c r="P215" s="1">
        <v>50</v>
      </c>
      <c r="Q215" s="1" t="str">
        <f>VLOOKUP(AB215,[1]Operational_Profit_Type_ID!$A$2:$B$3,2,FALSE)</f>
        <v>Fix rate</v>
      </c>
      <c r="R215" s="1" t="s">
        <v>55</v>
      </c>
      <c r="T215" s="1" t="str">
        <f>VLOOKUP(AD215,[1]UpdateRightID!$A$2:$B$4,2,FALSE)</f>
        <v>none</v>
      </c>
      <c r="U215" s="1" t="s">
        <v>48</v>
      </c>
      <c r="Y215" s="1">
        <v>0</v>
      </c>
      <c r="AB215" s="1">
        <v>1</v>
      </c>
      <c r="AD215" s="1">
        <v>0</v>
      </c>
      <c r="AE215" s="1">
        <v>1</v>
      </c>
    </row>
    <row r="216" spans="1:31" ht="180">
      <c r="B216" s="1" t="s">
        <v>588</v>
      </c>
      <c r="C216" t="s">
        <v>589</v>
      </c>
      <c r="D216" s="1" t="s">
        <v>590</v>
      </c>
      <c r="E216" s="1" t="e">
        <f>VLOOKUP(Z216,[1]LicenseDuration_ID!$A$2:$B$8,2,FALSE)</f>
        <v>#N/A</v>
      </c>
      <c r="F216" s="1" t="e">
        <f>VLOOKUP(AA216,[1]MaintenanceDuration_ID!$A$2:$B$5,2,FALSE)</f>
        <v>#N/A</v>
      </c>
      <c r="G216" s="1" t="e">
        <f>VLOOKUP(V216,[1]ExpectedDeliveryTime_ID!$A$2:$B$12,2,FALSE)</f>
        <v>#N/A</v>
      </c>
      <c r="H216" s="1" t="e">
        <f>VLOOKUP(AC216,[1]PaymentModel_ID!$A$2:$B$7,2,FALSE)</f>
        <v>#N/A</v>
      </c>
      <c r="I216" s="1" t="e">
        <f>VLOOKUP(W216,[1]ExpectedInvoiceDate_ID!$A$2:$B$12,2,FALSE)</f>
        <v>#N/A</v>
      </c>
      <c r="J216" s="1" t="e">
        <f>VLOOKUP(X216,[1]GrantOfRights_ID!$A$2:$B$7,2,FALSE)</f>
        <v>#N/A</v>
      </c>
      <c r="K216" s="1" t="str">
        <f>VLOOKUP(AE216,[1]Profile!$A$2:$B$8,2,FALSE)</f>
        <v>License</v>
      </c>
      <c r="M216" s="1" t="str">
        <f>VLOOKUP(Y216,[1]License_Method_ID!$A$2:$B$13,2,FALSE)</f>
        <v>no technical license protection</v>
      </c>
      <c r="N216" s="1" t="s">
        <v>47</v>
      </c>
      <c r="O216" s="1">
        <v>10</v>
      </c>
      <c r="P216" s="1">
        <v>50</v>
      </c>
      <c r="Q216" s="1" t="str">
        <f>VLOOKUP(AB216,[1]Operational_Profit_Type_ID!$A$2:$B$3,2,FALSE)</f>
        <v>Fix rate</v>
      </c>
      <c r="R216" s="1" t="s">
        <v>48</v>
      </c>
      <c r="T216" s="1" t="str">
        <f>VLOOKUP(AD216,[1]UpdateRightID!$A$2:$B$4,2,FALSE)</f>
        <v>none</v>
      </c>
      <c r="U216" s="1" t="s">
        <v>48</v>
      </c>
      <c r="Y216" s="1">
        <v>0</v>
      </c>
      <c r="AB216" s="1">
        <v>1</v>
      </c>
      <c r="AD216" s="1">
        <v>0</v>
      </c>
      <c r="AE216" s="1">
        <v>1</v>
      </c>
    </row>
    <row r="217" spans="1:31" ht="150">
      <c r="B217" s="1" t="s">
        <v>591</v>
      </c>
      <c r="C217" t="s">
        <v>592</v>
      </c>
      <c r="D217" s="1" t="s">
        <v>582</v>
      </c>
      <c r="E217" s="1" t="e">
        <f>VLOOKUP(Z217,[1]LicenseDuration_ID!$A$2:$B$8,2,FALSE)</f>
        <v>#N/A</v>
      </c>
      <c r="F217" s="1" t="e">
        <f>VLOOKUP(AA217,[1]MaintenanceDuration_ID!$A$2:$B$5,2,FALSE)</f>
        <v>#N/A</v>
      </c>
      <c r="G217" s="1" t="e">
        <f>VLOOKUP(V217,[1]ExpectedDeliveryTime_ID!$A$2:$B$12,2,FALSE)</f>
        <v>#N/A</v>
      </c>
      <c r="H217" s="1" t="e">
        <f>VLOOKUP(AC217,[1]PaymentModel_ID!$A$2:$B$7,2,FALSE)</f>
        <v>#N/A</v>
      </c>
      <c r="I217" s="1" t="e">
        <f>VLOOKUP(W217,[1]ExpectedInvoiceDate_ID!$A$2:$B$12,2,FALSE)</f>
        <v>#N/A</v>
      </c>
      <c r="J217" s="1" t="e">
        <f>VLOOKUP(X217,[1]GrantOfRights_ID!$A$2:$B$7,2,FALSE)</f>
        <v>#N/A</v>
      </c>
      <c r="K217" s="1" t="str">
        <f>VLOOKUP(AE217,[1]Profile!$A$2:$B$8,2,FALSE)</f>
        <v>License</v>
      </c>
      <c r="M217" s="1" t="str">
        <f>VLOOKUP(Y217,[1]License_Method_ID!$A$2:$B$13,2,FALSE)</f>
        <v>no technical license protection</v>
      </c>
      <c r="O217" s="1">
        <v>10</v>
      </c>
      <c r="P217" s="1">
        <v>50</v>
      </c>
      <c r="Q217" s="1" t="str">
        <f>VLOOKUP(AB217,[1]Operational_Profit_Type_ID!$A$2:$B$3,2,FALSE)</f>
        <v>Fix rate</v>
      </c>
      <c r="R217" s="1" t="s">
        <v>55</v>
      </c>
      <c r="T217" s="1" t="str">
        <f>VLOOKUP(AD217,[1]UpdateRightID!$A$2:$B$4,2,FALSE)</f>
        <v>none</v>
      </c>
      <c r="U217" s="1" t="s">
        <v>48</v>
      </c>
      <c r="Y217" s="1">
        <v>0</v>
      </c>
      <c r="AB217" s="1">
        <v>1</v>
      </c>
      <c r="AD217" s="1">
        <v>0</v>
      </c>
      <c r="AE217" s="1">
        <v>1</v>
      </c>
    </row>
    <row r="218" spans="1:31" ht="45">
      <c r="B218" s="1" t="s">
        <v>593</v>
      </c>
      <c r="C218" t="s">
        <v>594</v>
      </c>
      <c r="D218" s="1" t="s">
        <v>595</v>
      </c>
      <c r="E218" s="1" t="e">
        <f>VLOOKUP(Z218,[1]LicenseDuration_ID!$A$2:$B$8,2,FALSE)</f>
        <v>#N/A</v>
      </c>
      <c r="F218" s="1" t="e">
        <f>VLOOKUP(AA218,[1]MaintenanceDuration_ID!$A$2:$B$5,2,FALSE)</f>
        <v>#N/A</v>
      </c>
      <c r="G218" s="1" t="e">
        <f>VLOOKUP(V218,[1]ExpectedDeliveryTime_ID!$A$2:$B$12,2,FALSE)</f>
        <v>#N/A</v>
      </c>
      <c r="H218" s="1" t="e">
        <f>VLOOKUP(AC218,[1]PaymentModel_ID!$A$2:$B$7,2,FALSE)</f>
        <v>#N/A</v>
      </c>
      <c r="I218" s="1" t="e">
        <f>VLOOKUP(W218,[1]ExpectedInvoiceDate_ID!$A$2:$B$12,2,FALSE)</f>
        <v>#N/A</v>
      </c>
      <c r="J218" s="1" t="e">
        <f>VLOOKUP(X218,[1]GrantOfRights_ID!$A$2:$B$7,2,FALSE)</f>
        <v>#N/A</v>
      </c>
      <c r="K218" s="1" t="str">
        <f>VLOOKUP(AE218,[1]Profile!$A$2:$B$8,2,FALSE)</f>
        <v>License</v>
      </c>
      <c r="M218" s="1" t="str">
        <f>VLOOKUP(Y218,[1]License_Method_ID!$A$2:$B$13,2,FALSE)</f>
        <v>no technical license protection</v>
      </c>
      <c r="N218" s="1" t="s">
        <v>47</v>
      </c>
      <c r="O218" s="1">
        <v>10</v>
      </c>
      <c r="Q218" s="1" t="str">
        <f>VLOOKUP(AB218,[1]Operational_Profit_Type_ID!$A$2:$B$3,2,FALSE)</f>
        <v>Calculated</v>
      </c>
      <c r="R218" s="1" t="s">
        <v>55</v>
      </c>
      <c r="T218" s="1" t="str">
        <f>VLOOKUP(AD218,[1]UpdateRightID!$A$2:$B$4,2,FALSE)</f>
        <v>none</v>
      </c>
      <c r="U218" s="1" t="s">
        <v>48</v>
      </c>
      <c r="Y218" s="1">
        <v>0</v>
      </c>
      <c r="AB218" s="1">
        <v>2</v>
      </c>
      <c r="AD218" s="1">
        <v>0</v>
      </c>
      <c r="AE218" s="1">
        <v>1</v>
      </c>
    </row>
    <row r="219" spans="1:31" ht="105">
      <c r="B219" s="1" t="s">
        <v>596</v>
      </c>
      <c r="C219" t="s">
        <v>597</v>
      </c>
      <c r="D219" s="1" t="s">
        <v>598</v>
      </c>
      <c r="E219" s="1" t="e">
        <f>VLOOKUP(Z219,[1]LicenseDuration_ID!$A$2:$B$8,2,FALSE)</f>
        <v>#N/A</v>
      </c>
      <c r="F219" s="1" t="e">
        <f>VLOOKUP(AA219,[1]MaintenanceDuration_ID!$A$2:$B$5,2,FALSE)</f>
        <v>#N/A</v>
      </c>
      <c r="G219" s="1" t="e">
        <f>VLOOKUP(V219,[1]ExpectedDeliveryTime_ID!$A$2:$B$12,2,FALSE)</f>
        <v>#N/A</v>
      </c>
      <c r="H219" s="1" t="e">
        <f>VLOOKUP(AC219,[1]PaymentModel_ID!$A$2:$B$7,2,FALSE)</f>
        <v>#N/A</v>
      </c>
      <c r="I219" s="1" t="e">
        <f>VLOOKUP(W219,[1]ExpectedInvoiceDate_ID!$A$2:$B$12,2,FALSE)</f>
        <v>#N/A</v>
      </c>
      <c r="J219" s="1" t="e">
        <f>VLOOKUP(X219,[1]GrantOfRights_ID!$A$2:$B$7,2,FALSE)</f>
        <v>#N/A</v>
      </c>
      <c r="K219" s="1" t="str">
        <f>VLOOKUP(AE219,[1]Profile!$A$2:$B$8,2,FALSE)</f>
        <v>License</v>
      </c>
      <c r="M219" s="1" t="str">
        <f>VLOOKUP(Y219,[1]License_Method_ID!$A$2:$B$13,2,FALSE)</f>
        <v>no technical license protection</v>
      </c>
      <c r="N219" s="1" t="s">
        <v>47</v>
      </c>
      <c r="O219" s="1">
        <v>10</v>
      </c>
      <c r="P219" s="1">
        <v>50</v>
      </c>
      <c r="Q219" s="1" t="str">
        <f>VLOOKUP(AB219,[1]Operational_Profit_Type_ID!$A$2:$B$3,2,FALSE)</f>
        <v>Fix rate</v>
      </c>
      <c r="R219" s="1" t="s">
        <v>55</v>
      </c>
      <c r="T219" s="1" t="str">
        <f>VLOOKUP(AD219,[1]UpdateRightID!$A$2:$B$4,2,FALSE)</f>
        <v>none</v>
      </c>
      <c r="U219" s="1" t="s">
        <v>48</v>
      </c>
      <c r="Y219" s="1">
        <v>0</v>
      </c>
      <c r="AB219" s="1">
        <v>1</v>
      </c>
      <c r="AD219" s="1">
        <v>0</v>
      </c>
      <c r="AE219" s="1">
        <v>1</v>
      </c>
    </row>
    <row r="220" spans="1:31" ht="90">
      <c r="B220" s="1" t="s">
        <v>599</v>
      </c>
      <c r="C220" t="s">
        <v>600</v>
      </c>
      <c r="D220" s="1" t="s">
        <v>601</v>
      </c>
      <c r="E220" s="1" t="e">
        <f>VLOOKUP(Z220,[1]LicenseDuration_ID!$A$2:$B$8,2,FALSE)</f>
        <v>#N/A</v>
      </c>
      <c r="F220" s="1" t="e">
        <f>VLOOKUP(AA220,[1]MaintenanceDuration_ID!$A$2:$B$5,2,FALSE)</f>
        <v>#N/A</v>
      </c>
      <c r="G220" s="1" t="e">
        <f>VLOOKUP(V220,[1]ExpectedDeliveryTime_ID!$A$2:$B$12,2,FALSE)</f>
        <v>#N/A</v>
      </c>
      <c r="H220" s="1" t="e">
        <f>VLOOKUP(AC220,[1]PaymentModel_ID!$A$2:$B$7,2,FALSE)</f>
        <v>#N/A</v>
      </c>
      <c r="I220" s="1" t="e">
        <f>VLOOKUP(W220,[1]ExpectedInvoiceDate_ID!$A$2:$B$12,2,FALSE)</f>
        <v>#N/A</v>
      </c>
      <c r="J220" s="1" t="e">
        <f>VLOOKUP(X220,[1]GrantOfRights_ID!$A$2:$B$7,2,FALSE)</f>
        <v>#N/A</v>
      </c>
      <c r="K220" s="1" t="str">
        <f>VLOOKUP(AE220,[1]Profile!$A$2:$B$8,2,FALSE)</f>
        <v>License</v>
      </c>
      <c r="M220" s="1" t="str">
        <f>VLOOKUP(Y220,[1]License_Method_ID!$A$2:$B$13,2,FALSE)</f>
        <v>no technical license protection</v>
      </c>
      <c r="N220" s="1" t="s">
        <v>47</v>
      </c>
      <c r="O220" s="1">
        <v>10</v>
      </c>
      <c r="P220" s="1">
        <v>50</v>
      </c>
      <c r="Q220" s="1" t="str">
        <f>VLOOKUP(AB220,[1]Operational_Profit_Type_ID!$A$2:$B$3,2,FALSE)</f>
        <v>Fix rate</v>
      </c>
      <c r="R220" s="1" t="s">
        <v>55</v>
      </c>
      <c r="T220" s="1" t="str">
        <f>VLOOKUP(AD220,[1]UpdateRightID!$A$2:$B$4,2,FALSE)</f>
        <v>none</v>
      </c>
      <c r="U220" s="1" t="s">
        <v>48</v>
      </c>
      <c r="Y220" s="1">
        <v>0</v>
      </c>
      <c r="AB220" s="1">
        <v>1</v>
      </c>
      <c r="AD220" s="1">
        <v>0</v>
      </c>
      <c r="AE220" s="1">
        <v>1</v>
      </c>
    </row>
    <row r="221" spans="1:31" ht="135">
      <c r="A221" s="1" t="s">
        <v>43</v>
      </c>
      <c r="B221" s="1" t="s">
        <v>602</v>
      </c>
      <c r="C221" t="s">
        <v>603</v>
      </c>
      <c r="D221" s="1" t="s">
        <v>604</v>
      </c>
      <c r="E221" s="1" t="str">
        <f>VLOOKUP(Z221,[1]LicenseDuration_ID!$A$2:$B$8,2,FALSE)</f>
        <v>18 months</v>
      </c>
      <c r="F221" s="1" t="str">
        <f>VLOOKUP(AA221,[1]MaintenanceDuration_ID!$A$2:$B$5,2,FALSE)</f>
        <v>n/a</v>
      </c>
      <c r="G221" s="1" t="str">
        <f>VLOOKUP(V221,[1]ExpectedDeliveryTime_ID!$A$2:$B$12,2,FALSE)</f>
        <v>FINALIZED PURCHASE PROCESS + 2 weeks</v>
      </c>
      <c r="H221" s="1" t="str">
        <f>VLOOKUP(AC221,[1]PaymentModel_ID!$A$2:$B$7,2,FALSE)</f>
        <v>One-time payment</v>
      </c>
      <c r="I221" s="1" t="str">
        <f>VLOOKUP(W221,[1]ExpectedInvoiceDate_ID!$A$2:$B$12,2,FALSE)</f>
        <v>With FINAL DELIVERY</v>
      </c>
      <c r="J221" s="1" t="str">
        <f>VLOOKUP(X221,[1]GrantOfRights_ID!$A$2:$B$7,2,FALSE)</f>
        <v>n/a</v>
      </c>
      <c r="K221" s="1" t="str">
        <f>VLOOKUP(AE221,[1]Profile!$A$2:$B$8,2,FALSE)</f>
        <v>License</v>
      </c>
      <c r="M221" s="1" t="str">
        <f>VLOOKUP(Y221,[1]License_Method_ID!$A$2:$B$13,2,FALSE)</f>
        <v>no technical license protection</v>
      </c>
      <c r="N221" s="1" t="s">
        <v>47</v>
      </c>
      <c r="O221" s="1">
        <v>10</v>
      </c>
      <c r="Q221" s="1" t="str">
        <f>VLOOKUP(AB221,[1]Operational_Profit_Type_ID!$A$2:$B$3,2,FALSE)</f>
        <v>Calculated</v>
      </c>
      <c r="R221" s="1" t="s">
        <v>55</v>
      </c>
      <c r="T221" s="1" t="str">
        <f>VLOOKUP(AD221,[1]UpdateRightID!$A$2:$B$4,2,FALSE)</f>
        <v>none</v>
      </c>
      <c r="U221" s="1" t="s">
        <v>48</v>
      </c>
      <c r="V221" s="1">
        <v>2</v>
      </c>
      <c r="W221" s="1">
        <v>7</v>
      </c>
      <c r="X221" s="1">
        <v>1</v>
      </c>
      <c r="Y221" s="1">
        <v>0</v>
      </c>
      <c r="Z221" s="1">
        <v>7</v>
      </c>
      <c r="AA221" s="1">
        <v>1</v>
      </c>
      <c r="AB221" s="1">
        <v>2</v>
      </c>
      <c r="AC221" s="1">
        <v>2</v>
      </c>
      <c r="AD221" s="1">
        <v>0</v>
      </c>
      <c r="AE221" s="1">
        <v>1</v>
      </c>
    </row>
    <row r="222" spans="1:31" ht="90">
      <c r="B222" s="1" t="s">
        <v>605</v>
      </c>
      <c r="C222" t="s">
        <v>606</v>
      </c>
      <c r="D222" s="1" t="s">
        <v>607</v>
      </c>
      <c r="E222" s="1" t="e">
        <f>VLOOKUP(Z222,[1]LicenseDuration_ID!$A$2:$B$8,2,FALSE)</f>
        <v>#N/A</v>
      </c>
      <c r="F222" s="1" t="e">
        <f>VLOOKUP(AA222,[1]MaintenanceDuration_ID!$A$2:$B$5,2,FALSE)</f>
        <v>#N/A</v>
      </c>
      <c r="G222" s="1" t="e">
        <f>VLOOKUP(V222,[1]ExpectedDeliveryTime_ID!$A$2:$B$12,2,FALSE)</f>
        <v>#N/A</v>
      </c>
      <c r="H222" s="1" t="e">
        <f>VLOOKUP(AC222,[1]PaymentModel_ID!$A$2:$B$7,2,FALSE)</f>
        <v>#N/A</v>
      </c>
      <c r="I222" s="1" t="e">
        <f>VLOOKUP(W222,[1]ExpectedInvoiceDate_ID!$A$2:$B$12,2,FALSE)</f>
        <v>#N/A</v>
      </c>
      <c r="J222" s="1" t="e">
        <f>VLOOKUP(X222,[1]GrantOfRights_ID!$A$2:$B$7,2,FALSE)</f>
        <v>#N/A</v>
      </c>
      <c r="K222" s="1" t="str">
        <f>VLOOKUP(AE222,[1]Profile!$A$2:$B$8,2,FALSE)</f>
        <v>License</v>
      </c>
      <c r="M222" s="1" t="str">
        <f>VLOOKUP(Y222,[1]License_Method_ID!$A$2:$B$13,2,FALSE)</f>
        <v>no technical license protection</v>
      </c>
      <c r="N222" s="1" t="s">
        <v>47</v>
      </c>
      <c r="O222" s="1">
        <v>10</v>
      </c>
      <c r="P222" s="1">
        <v>50</v>
      </c>
      <c r="Q222" s="1" t="str">
        <f>VLOOKUP(AB222,[1]Operational_Profit_Type_ID!$A$2:$B$3,2,FALSE)</f>
        <v>Fix rate</v>
      </c>
      <c r="R222" s="1" t="s">
        <v>48</v>
      </c>
      <c r="T222" s="1" t="str">
        <f>VLOOKUP(AD222,[1]UpdateRightID!$A$2:$B$4,2,FALSE)</f>
        <v>none</v>
      </c>
      <c r="U222" s="1" t="s">
        <v>48</v>
      </c>
      <c r="Y222" s="1">
        <v>0</v>
      </c>
      <c r="AB222" s="1">
        <v>1</v>
      </c>
      <c r="AD222" s="1">
        <v>0</v>
      </c>
      <c r="AE222" s="1">
        <v>1</v>
      </c>
    </row>
    <row r="223" spans="1:31" ht="210">
      <c r="A223" s="1" t="s">
        <v>43</v>
      </c>
      <c r="B223" s="1" t="s">
        <v>608</v>
      </c>
      <c r="C223" t="s">
        <v>609</v>
      </c>
      <c r="D223" s="1" t="s">
        <v>610</v>
      </c>
      <c r="E223" s="1" t="str">
        <f>VLOOKUP(Z223,[1]LicenseDuration_ID!$A$2:$B$8,2,FALSE)</f>
        <v>perpetual</v>
      </c>
      <c r="F223" s="1" t="str">
        <f>VLOOKUP(AA223,[1]MaintenanceDuration_ID!$A$2:$B$5,2,FALSE)</f>
        <v>n/a</v>
      </c>
      <c r="G223" s="1" t="str">
        <f>VLOOKUP(V223,[1]ExpectedDeliveryTime_ID!$A$2:$B$12,2,FALSE)</f>
        <v>FINALIZED PURCHASE PROCESS + 2 weeks</v>
      </c>
      <c r="H223" s="1" t="str">
        <f>VLOOKUP(AC223,[1]PaymentModel_ID!$A$2:$B$7,2,FALSE)</f>
        <v>One-time payment</v>
      </c>
      <c r="I223" s="1" t="str">
        <f>VLOOKUP(W223,[1]ExpectedInvoiceDate_ID!$A$2:$B$12,2,FALSE)</f>
        <v>With FINAL DELIVERY</v>
      </c>
      <c r="J223" s="1" t="str">
        <f>VLOOKUP(X223,[1]GrantOfRights_ID!$A$2:$B$7,2,FALSE)</f>
        <v>n/a</v>
      </c>
      <c r="K223" s="1" t="str">
        <f>VLOOKUP(AE223,[1]Profile!$A$2:$B$8,2,FALSE)</f>
        <v>License</v>
      </c>
      <c r="M223" s="1" t="str">
        <f>VLOOKUP(Y223,[1]License_Method_ID!$A$2:$B$13,2,FALSE)</f>
        <v>no technical license protection</v>
      </c>
      <c r="N223" s="1" t="s">
        <v>47</v>
      </c>
      <c r="O223" s="1">
        <v>10</v>
      </c>
      <c r="Q223" s="1" t="str">
        <f>VLOOKUP(AB223,[1]Operational_Profit_Type_ID!$A$2:$B$3,2,FALSE)</f>
        <v>Calculated</v>
      </c>
      <c r="R223" s="1" t="s">
        <v>48</v>
      </c>
      <c r="T223" s="1" t="str">
        <f>VLOOKUP(AD223,[1]UpdateRightID!$A$2:$B$4,2,FALSE)</f>
        <v>none</v>
      </c>
      <c r="U223" s="1" t="s">
        <v>48</v>
      </c>
      <c r="V223" s="1">
        <v>2</v>
      </c>
      <c r="W223" s="1">
        <v>7</v>
      </c>
      <c r="X223" s="1">
        <v>1</v>
      </c>
      <c r="Y223" s="1">
        <v>0</v>
      </c>
      <c r="Z223" s="1">
        <v>6</v>
      </c>
      <c r="AA223" s="1">
        <v>1</v>
      </c>
      <c r="AB223" s="1">
        <v>2</v>
      </c>
      <c r="AC223" s="1">
        <v>2</v>
      </c>
      <c r="AD223" s="1">
        <v>0</v>
      </c>
      <c r="AE223" s="1">
        <v>1</v>
      </c>
    </row>
    <row r="224" spans="1:31" ht="180">
      <c r="A224" s="1" t="s">
        <v>43</v>
      </c>
      <c r="B224" s="1" t="s">
        <v>611</v>
      </c>
      <c r="C224" t="s">
        <v>612</v>
      </c>
      <c r="D224" s="1" t="s">
        <v>613</v>
      </c>
      <c r="E224" s="1" t="str">
        <f>VLOOKUP(Z224,[1]LicenseDuration_ID!$A$2:$B$8,2,FALSE)</f>
        <v>n/a</v>
      </c>
      <c r="F224" s="1" t="str">
        <f>VLOOKUP(AA224,[1]MaintenanceDuration_ID!$A$2:$B$5,2,FALSE)</f>
        <v>12 months</v>
      </c>
      <c r="G224" s="1" t="str">
        <f>VLOOKUP(V224,[1]ExpectedDeliveryTime_ID!$A$2:$B$12,2,FALSE)</f>
        <v>n/a</v>
      </c>
      <c r="H224" s="1" t="str">
        <f>VLOOKUP(AC224,[1]PaymentModel_ID!$A$2:$B$7,2,FALSE)</f>
        <v>Annual payment</v>
      </c>
      <c r="I224" s="1" t="str">
        <f>VLOOKUP(W224,[1]ExpectedInvoiceDate_ID!$A$2:$B$12,2,FALSE)</f>
        <v>Anually at the beginning of the extended period</v>
      </c>
      <c r="J224" s="1" t="str">
        <f>VLOOKUP(X224,[1]GrantOfRights_ID!$A$2:$B$7,2,FALSE)</f>
        <v>n/a</v>
      </c>
      <c r="K224" s="1" t="str">
        <f>VLOOKUP(AE224,[1]Profile!$A$2:$B$8,2,FALSE)</f>
        <v>License</v>
      </c>
      <c r="M224" s="1" t="str">
        <f>VLOOKUP(Y224,[1]License_Method_ID!$A$2:$B$13,2,FALSE)</f>
        <v>no technical license protection</v>
      </c>
      <c r="N224" s="1" t="s">
        <v>47</v>
      </c>
      <c r="O224" s="1">
        <v>10</v>
      </c>
      <c r="Q224" s="1" t="str">
        <f>VLOOKUP(AB224,[1]Operational_Profit_Type_ID!$A$2:$B$3,2,FALSE)</f>
        <v>Calculated</v>
      </c>
      <c r="R224" s="1" t="s">
        <v>55</v>
      </c>
      <c r="S224" s="1">
        <v>15</v>
      </c>
      <c r="T224" s="1" t="str">
        <f>VLOOKUP(AD224,[1]UpdateRightID!$A$2:$B$4,2,FALSE)</f>
        <v>TotalAmountAsUpdateRight</v>
      </c>
      <c r="U224" s="1" t="s">
        <v>48</v>
      </c>
      <c r="V224" s="1">
        <v>1</v>
      </c>
      <c r="W224" s="1">
        <v>2</v>
      </c>
      <c r="X224" s="1">
        <v>1</v>
      </c>
      <c r="Y224" s="1">
        <v>0</v>
      </c>
      <c r="Z224" s="1">
        <v>1</v>
      </c>
      <c r="AA224" s="1">
        <v>3</v>
      </c>
      <c r="AB224" s="1">
        <v>2</v>
      </c>
      <c r="AC224" s="1">
        <v>3</v>
      </c>
      <c r="AD224" s="1">
        <v>2</v>
      </c>
      <c r="AE224" s="1">
        <v>1</v>
      </c>
    </row>
    <row r="225" spans="1:31" ht="150">
      <c r="B225" s="1" t="s">
        <v>614</v>
      </c>
      <c r="C225" t="s">
        <v>615</v>
      </c>
      <c r="D225" s="1" t="s">
        <v>142</v>
      </c>
      <c r="E225" s="1" t="e">
        <f>VLOOKUP(Z225,[1]LicenseDuration_ID!$A$2:$B$8,2,FALSE)</f>
        <v>#N/A</v>
      </c>
      <c r="F225" s="1" t="e">
        <f>VLOOKUP(AA225,[1]MaintenanceDuration_ID!$A$2:$B$5,2,FALSE)</f>
        <v>#N/A</v>
      </c>
      <c r="G225" s="1" t="e">
        <f>VLOOKUP(V225,[1]ExpectedDeliveryTime_ID!$A$2:$B$12,2,FALSE)</f>
        <v>#N/A</v>
      </c>
      <c r="H225" s="1" t="e">
        <f>VLOOKUP(AC225,[1]PaymentModel_ID!$A$2:$B$7,2,FALSE)</f>
        <v>#N/A</v>
      </c>
      <c r="I225" s="1" t="e">
        <f>VLOOKUP(W225,[1]ExpectedInvoiceDate_ID!$A$2:$B$12,2,FALSE)</f>
        <v>#N/A</v>
      </c>
      <c r="J225" s="1" t="e">
        <f>VLOOKUP(X225,[1]GrantOfRights_ID!$A$2:$B$7,2,FALSE)</f>
        <v>#N/A</v>
      </c>
      <c r="K225" s="1" t="str">
        <f>VLOOKUP(AE225,[1]Profile!$A$2:$B$8,2,FALSE)</f>
        <v>License</v>
      </c>
      <c r="M225" s="1" t="str">
        <f>VLOOKUP(Y225,[1]License_Method_ID!$A$2:$B$13,2,FALSE)</f>
        <v>EB GUIDE Floating License File</v>
      </c>
      <c r="N225" s="1" t="s">
        <v>47</v>
      </c>
      <c r="O225" s="1">
        <v>10</v>
      </c>
      <c r="P225" s="1">
        <v>50</v>
      </c>
      <c r="Q225" s="1" t="str">
        <f>VLOOKUP(AB225,[1]Operational_Profit_Type_ID!$A$2:$B$3,2,FALSE)</f>
        <v>Fix rate</v>
      </c>
      <c r="R225" s="1" t="s">
        <v>48</v>
      </c>
      <c r="S225" s="1">
        <v>10</v>
      </c>
      <c r="T225" s="1" t="str">
        <f>VLOOKUP(AD225,[1]UpdateRightID!$A$2:$B$4,2,FALSE)</f>
        <v>UpdateRightByConfiguration</v>
      </c>
      <c r="U225" s="1" t="s">
        <v>48</v>
      </c>
      <c r="Y225" s="1">
        <v>10</v>
      </c>
      <c r="AB225" s="1">
        <v>1</v>
      </c>
      <c r="AD225" s="1">
        <v>1</v>
      </c>
      <c r="AE225" s="1">
        <v>1</v>
      </c>
    </row>
    <row r="226" spans="1:31" ht="285">
      <c r="B226" s="1" t="s">
        <v>616</v>
      </c>
      <c r="C226" t="s">
        <v>617</v>
      </c>
      <c r="D226" s="1" t="s">
        <v>618</v>
      </c>
      <c r="E226" s="1" t="e">
        <f>VLOOKUP(Z226,[1]LicenseDuration_ID!$A$2:$B$8,2,FALSE)</f>
        <v>#N/A</v>
      </c>
      <c r="F226" s="1" t="e">
        <f>VLOOKUP(AA226,[1]MaintenanceDuration_ID!$A$2:$B$5,2,FALSE)</f>
        <v>#N/A</v>
      </c>
      <c r="G226" s="1" t="e">
        <f>VLOOKUP(V226,[1]ExpectedDeliveryTime_ID!$A$2:$B$12,2,FALSE)</f>
        <v>#N/A</v>
      </c>
      <c r="H226" s="1" t="e">
        <f>VLOOKUP(AC226,[1]PaymentModel_ID!$A$2:$B$7,2,FALSE)</f>
        <v>#N/A</v>
      </c>
      <c r="I226" s="1" t="e">
        <f>VLOOKUP(W226,[1]ExpectedInvoiceDate_ID!$A$2:$B$12,2,FALSE)</f>
        <v>#N/A</v>
      </c>
      <c r="J226" s="1" t="e">
        <f>VLOOKUP(X226,[1]GrantOfRights_ID!$A$2:$B$7,2,FALSE)</f>
        <v>#N/A</v>
      </c>
      <c r="K226" s="1" t="str">
        <f>VLOOKUP(AE226,[1]Profile!$A$2:$B$8,2,FALSE)</f>
        <v>License</v>
      </c>
      <c r="M226" s="1" t="str">
        <f>VLOOKUP(Y226,[1]License_Method_ID!$A$2:$B$13,2,FALSE)</f>
        <v>EB GUIDE Node-Locked License File</v>
      </c>
      <c r="N226" s="1" t="s">
        <v>47</v>
      </c>
      <c r="O226" s="1">
        <v>10</v>
      </c>
      <c r="P226" s="1">
        <v>50</v>
      </c>
      <c r="Q226" s="1" t="str">
        <f>VLOOKUP(AB226,[1]Operational_Profit_Type_ID!$A$2:$B$3,2,FALSE)</f>
        <v>Fix rate</v>
      </c>
      <c r="R226" s="1" t="s">
        <v>48</v>
      </c>
      <c r="S226" s="1">
        <v>10</v>
      </c>
      <c r="T226" s="1" t="str">
        <f>VLOOKUP(AD226,[1]UpdateRightID!$A$2:$B$4,2,FALSE)</f>
        <v>UpdateRightByConfiguration</v>
      </c>
      <c r="U226" s="1" t="s">
        <v>48</v>
      </c>
      <c r="Y226" s="1">
        <v>9</v>
      </c>
      <c r="AB226" s="1">
        <v>1</v>
      </c>
      <c r="AD226" s="1">
        <v>1</v>
      </c>
      <c r="AE226" s="1">
        <v>1</v>
      </c>
    </row>
    <row r="227" spans="1:31" ht="210">
      <c r="B227" s="1" t="s">
        <v>619</v>
      </c>
      <c r="C227" t="s">
        <v>620</v>
      </c>
      <c r="D227" s="1" t="s">
        <v>621</v>
      </c>
      <c r="E227" s="1" t="e">
        <f>VLOOKUP(Z227,[1]LicenseDuration_ID!$A$2:$B$8,2,FALSE)</f>
        <v>#N/A</v>
      </c>
      <c r="F227" s="1" t="e">
        <f>VLOOKUP(AA227,[1]MaintenanceDuration_ID!$A$2:$B$5,2,FALSE)</f>
        <v>#N/A</v>
      </c>
      <c r="G227" s="1" t="e">
        <f>VLOOKUP(V227,[1]ExpectedDeliveryTime_ID!$A$2:$B$12,2,FALSE)</f>
        <v>#N/A</v>
      </c>
      <c r="H227" s="1" t="e">
        <f>VLOOKUP(AC227,[1]PaymentModel_ID!$A$2:$B$7,2,FALSE)</f>
        <v>#N/A</v>
      </c>
      <c r="I227" s="1" t="e">
        <f>VLOOKUP(W227,[1]ExpectedInvoiceDate_ID!$A$2:$B$12,2,FALSE)</f>
        <v>#N/A</v>
      </c>
      <c r="J227" s="1" t="e">
        <f>VLOOKUP(X227,[1]GrantOfRights_ID!$A$2:$B$7,2,FALSE)</f>
        <v>#N/A</v>
      </c>
      <c r="K227" s="1" t="str">
        <f>VLOOKUP(AE227,[1]Profile!$A$2:$B$8,2,FALSE)</f>
        <v>License</v>
      </c>
      <c r="M227" s="1" t="str">
        <f>VLOOKUP(Y227,[1]License_Method_ID!$A$2:$B$13,2,FALSE)</f>
        <v>EB GUIDE Node-Locked License File</v>
      </c>
      <c r="N227" s="1" t="s">
        <v>47</v>
      </c>
      <c r="O227" s="1">
        <v>10</v>
      </c>
      <c r="P227" s="1">
        <v>50</v>
      </c>
      <c r="Q227" s="1" t="str">
        <f>VLOOKUP(AB227,[1]Operational_Profit_Type_ID!$A$2:$B$3,2,FALSE)</f>
        <v>Fix rate</v>
      </c>
      <c r="R227" s="1" t="s">
        <v>48</v>
      </c>
      <c r="T227" s="1" t="str">
        <f>VLOOKUP(AD227,[1]UpdateRightID!$A$2:$B$4,2,FALSE)</f>
        <v>none</v>
      </c>
      <c r="U227" s="1" t="s">
        <v>48</v>
      </c>
      <c r="Y227" s="1">
        <v>9</v>
      </c>
      <c r="AB227" s="1">
        <v>1</v>
      </c>
      <c r="AD227" s="1">
        <v>0</v>
      </c>
      <c r="AE227" s="1">
        <v>1</v>
      </c>
    </row>
    <row r="228" spans="1:31" ht="75">
      <c r="B228" s="1" t="s">
        <v>622</v>
      </c>
      <c r="C228" t="s">
        <v>623</v>
      </c>
      <c r="D228" s="1" t="s">
        <v>624</v>
      </c>
      <c r="E228" s="1" t="e">
        <f>VLOOKUP(Z228,[1]LicenseDuration_ID!$A$2:$B$8,2,FALSE)</f>
        <v>#N/A</v>
      </c>
      <c r="F228" s="1" t="e">
        <f>VLOOKUP(AA228,[1]MaintenanceDuration_ID!$A$2:$B$5,2,FALSE)</f>
        <v>#N/A</v>
      </c>
      <c r="G228" s="1" t="e">
        <f>VLOOKUP(V228,[1]ExpectedDeliveryTime_ID!$A$2:$B$12,2,FALSE)</f>
        <v>#N/A</v>
      </c>
      <c r="H228" s="1" t="e">
        <f>VLOOKUP(AC228,[1]PaymentModel_ID!$A$2:$B$7,2,FALSE)</f>
        <v>#N/A</v>
      </c>
      <c r="I228" s="1" t="e">
        <f>VLOOKUP(W228,[1]ExpectedInvoiceDate_ID!$A$2:$B$12,2,FALSE)</f>
        <v>#N/A</v>
      </c>
      <c r="J228" s="1" t="e">
        <f>VLOOKUP(X228,[1]GrantOfRights_ID!$A$2:$B$7,2,FALSE)</f>
        <v>#N/A</v>
      </c>
      <c r="K228" s="1" t="str">
        <f>VLOOKUP(AE228,[1]Profile!$A$2:$B$8,2,FALSE)</f>
        <v>License</v>
      </c>
      <c r="M228" s="1" t="str">
        <f>VLOOKUP(Y228,[1]License_Method_ID!$A$2:$B$13,2,FALSE)</f>
        <v>EB GUIDE Dongle License File</v>
      </c>
      <c r="N228" s="1" t="s">
        <v>47</v>
      </c>
      <c r="O228" s="1">
        <v>10</v>
      </c>
      <c r="P228" s="1">
        <v>50</v>
      </c>
      <c r="Q228" s="1" t="str">
        <f>VLOOKUP(AB228,[1]Operational_Profit_Type_ID!$A$2:$B$3,2,FALSE)</f>
        <v>Fix rate</v>
      </c>
      <c r="R228" s="1" t="s">
        <v>48</v>
      </c>
      <c r="T228" s="1" t="str">
        <f>VLOOKUP(AD228,[1]UpdateRightID!$A$2:$B$4,2,FALSE)</f>
        <v>none</v>
      </c>
      <c r="U228" s="1" t="s">
        <v>48</v>
      </c>
      <c r="Y228" s="1">
        <v>11</v>
      </c>
      <c r="AB228" s="1">
        <v>1</v>
      </c>
      <c r="AD228" s="1">
        <v>0</v>
      </c>
      <c r="AE228" s="1">
        <v>1</v>
      </c>
    </row>
    <row r="229" spans="1:31" ht="120">
      <c r="B229" s="1" t="s">
        <v>625</v>
      </c>
      <c r="C229" t="s">
        <v>626</v>
      </c>
      <c r="D229" s="1" t="s">
        <v>627</v>
      </c>
      <c r="E229" s="1" t="e">
        <f>VLOOKUP(Z229,[1]LicenseDuration_ID!$A$2:$B$8,2,FALSE)</f>
        <v>#N/A</v>
      </c>
      <c r="F229" s="1" t="e">
        <f>VLOOKUP(AA229,[1]MaintenanceDuration_ID!$A$2:$B$5,2,FALSE)</f>
        <v>#N/A</v>
      </c>
      <c r="G229" s="1" t="e">
        <f>VLOOKUP(V229,[1]ExpectedDeliveryTime_ID!$A$2:$B$12,2,FALSE)</f>
        <v>#N/A</v>
      </c>
      <c r="H229" s="1" t="e">
        <f>VLOOKUP(AC229,[1]PaymentModel_ID!$A$2:$B$7,2,FALSE)</f>
        <v>#N/A</v>
      </c>
      <c r="I229" s="1" t="e">
        <f>VLOOKUP(W229,[1]ExpectedInvoiceDate_ID!$A$2:$B$12,2,FALSE)</f>
        <v>#N/A</v>
      </c>
      <c r="J229" s="1" t="e">
        <f>VLOOKUP(X229,[1]GrantOfRights_ID!$A$2:$B$7,2,FALSE)</f>
        <v>#N/A</v>
      </c>
      <c r="K229" s="1" t="str">
        <f>VLOOKUP(AE229,[1]Profile!$A$2:$B$8,2,FALSE)</f>
        <v>License</v>
      </c>
      <c r="M229" s="1" t="str">
        <f>VLOOKUP(Y229,[1]License_Method_ID!$A$2:$B$13,2,FALSE)</f>
        <v>EB GUIDE Dongle License File</v>
      </c>
      <c r="N229" s="1" t="s">
        <v>47</v>
      </c>
      <c r="O229" s="1">
        <v>10</v>
      </c>
      <c r="P229" s="1">
        <v>50</v>
      </c>
      <c r="Q229" s="1" t="str">
        <f>VLOOKUP(AB229,[1]Operational_Profit_Type_ID!$A$2:$B$3,2,FALSE)</f>
        <v>Fix rate</v>
      </c>
      <c r="R229" s="1" t="s">
        <v>48</v>
      </c>
      <c r="S229" s="1">
        <v>10</v>
      </c>
      <c r="T229" s="1" t="str">
        <f>VLOOKUP(AD229,[1]UpdateRightID!$A$2:$B$4,2,FALSE)</f>
        <v>TotalAmountAsUpdateRight</v>
      </c>
      <c r="U229" s="1" t="s">
        <v>48</v>
      </c>
      <c r="Y229" s="1">
        <v>11</v>
      </c>
      <c r="AB229" s="1">
        <v>1</v>
      </c>
      <c r="AD229" s="1">
        <v>2</v>
      </c>
      <c r="AE229" s="1">
        <v>1</v>
      </c>
    </row>
    <row r="230" spans="1:31" ht="75">
      <c r="B230" s="1" t="s">
        <v>628</v>
      </c>
      <c r="C230" t="s">
        <v>629</v>
      </c>
      <c r="D230" s="1" t="s">
        <v>624</v>
      </c>
      <c r="E230" s="1" t="e">
        <f>VLOOKUP(Z230,[1]LicenseDuration_ID!$A$2:$B$8,2,FALSE)</f>
        <v>#N/A</v>
      </c>
      <c r="F230" s="1" t="e">
        <f>VLOOKUP(AA230,[1]MaintenanceDuration_ID!$A$2:$B$5,2,FALSE)</f>
        <v>#N/A</v>
      </c>
      <c r="G230" s="1" t="e">
        <f>VLOOKUP(V230,[1]ExpectedDeliveryTime_ID!$A$2:$B$12,2,FALSE)</f>
        <v>#N/A</v>
      </c>
      <c r="H230" s="1" t="e">
        <f>VLOOKUP(AC230,[1]PaymentModel_ID!$A$2:$B$7,2,FALSE)</f>
        <v>#N/A</v>
      </c>
      <c r="I230" s="1" t="e">
        <f>VLOOKUP(W230,[1]ExpectedInvoiceDate_ID!$A$2:$B$12,2,FALSE)</f>
        <v>#N/A</v>
      </c>
      <c r="J230" s="1" t="e">
        <f>VLOOKUP(X230,[1]GrantOfRights_ID!$A$2:$B$7,2,FALSE)</f>
        <v>#N/A</v>
      </c>
      <c r="K230" s="1" t="str">
        <f>VLOOKUP(AE230,[1]Profile!$A$2:$B$8,2,FALSE)</f>
        <v>License</v>
      </c>
      <c r="M230" s="1" t="str">
        <f>VLOOKUP(Y230,[1]License_Method_ID!$A$2:$B$13,2,FALSE)</f>
        <v>EB GUIDE Floating License File</v>
      </c>
      <c r="N230" s="1" t="s">
        <v>47</v>
      </c>
      <c r="O230" s="1">
        <v>10</v>
      </c>
      <c r="P230" s="1">
        <v>50</v>
      </c>
      <c r="Q230" s="1" t="str">
        <f>VLOOKUP(AB230,[1]Operational_Profit_Type_ID!$A$2:$B$3,2,FALSE)</f>
        <v>Fix rate</v>
      </c>
      <c r="R230" s="1" t="s">
        <v>48</v>
      </c>
      <c r="T230" s="1" t="str">
        <f>VLOOKUP(AD230,[1]UpdateRightID!$A$2:$B$4,2,FALSE)</f>
        <v>none</v>
      </c>
      <c r="U230" s="1" t="s">
        <v>48</v>
      </c>
      <c r="Y230" s="1">
        <v>10</v>
      </c>
      <c r="AB230" s="1">
        <v>1</v>
      </c>
      <c r="AD230" s="1">
        <v>0</v>
      </c>
      <c r="AE230" s="1">
        <v>1</v>
      </c>
    </row>
    <row r="231" spans="1:31" ht="120">
      <c r="B231" s="1" t="s">
        <v>630</v>
      </c>
      <c r="C231" t="s">
        <v>631</v>
      </c>
      <c r="D231" s="1" t="s">
        <v>627</v>
      </c>
      <c r="E231" s="1" t="e">
        <f>VLOOKUP(Z231,[1]LicenseDuration_ID!$A$2:$B$8,2,FALSE)</f>
        <v>#N/A</v>
      </c>
      <c r="F231" s="1" t="e">
        <f>VLOOKUP(AA231,[1]MaintenanceDuration_ID!$A$2:$B$5,2,FALSE)</f>
        <v>#N/A</v>
      </c>
      <c r="G231" s="1" t="e">
        <f>VLOOKUP(V231,[1]ExpectedDeliveryTime_ID!$A$2:$B$12,2,FALSE)</f>
        <v>#N/A</v>
      </c>
      <c r="H231" s="1" t="e">
        <f>VLOOKUP(AC231,[1]PaymentModel_ID!$A$2:$B$7,2,FALSE)</f>
        <v>#N/A</v>
      </c>
      <c r="I231" s="1" t="e">
        <f>VLOOKUP(W231,[1]ExpectedInvoiceDate_ID!$A$2:$B$12,2,FALSE)</f>
        <v>#N/A</v>
      </c>
      <c r="J231" s="1" t="e">
        <f>VLOOKUP(X231,[1]GrantOfRights_ID!$A$2:$B$7,2,FALSE)</f>
        <v>#N/A</v>
      </c>
      <c r="K231" s="1" t="str">
        <f>VLOOKUP(AE231,[1]Profile!$A$2:$B$8,2,FALSE)</f>
        <v>License</v>
      </c>
      <c r="M231" s="1" t="str">
        <f>VLOOKUP(Y231,[1]License_Method_ID!$A$2:$B$13,2,FALSE)</f>
        <v>EB GUIDE Floating License File</v>
      </c>
      <c r="N231" s="1" t="s">
        <v>47</v>
      </c>
      <c r="O231" s="1">
        <v>10</v>
      </c>
      <c r="P231" s="1">
        <v>50</v>
      </c>
      <c r="Q231" s="1" t="str">
        <f>VLOOKUP(AB231,[1]Operational_Profit_Type_ID!$A$2:$B$3,2,FALSE)</f>
        <v>Fix rate</v>
      </c>
      <c r="R231" s="1" t="s">
        <v>48</v>
      </c>
      <c r="S231" s="1">
        <v>10</v>
      </c>
      <c r="T231" s="1" t="str">
        <f>VLOOKUP(AD231,[1]UpdateRightID!$A$2:$B$4,2,FALSE)</f>
        <v>TotalAmountAsUpdateRight</v>
      </c>
      <c r="U231" s="1" t="s">
        <v>48</v>
      </c>
      <c r="Y231" s="1">
        <v>10</v>
      </c>
      <c r="AB231" s="1">
        <v>1</v>
      </c>
      <c r="AD231" s="1">
        <v>2</v>
      </c>
      <c r="AE231" s="1">
        <v>1</v>
      </c>
    </row>
    <row r="232" spans="1:31" ht="255">
      <c r="B232" s="1" t="s">
        <v>632</v>
      </c>
      <c r="C232" t="s">
        <v>633</v>
      </c>
      <c r="D232" s="1" t="s">
        <v>634</v>
      </c>
      <c r="E232" s="1" t="e">
        <f>VLOOKUP(Z232,[1]LicenseDuration_ID!$A$2:$B$8,2,FALSE)</f>
        <v>#N/A</v>
      </c>
      <c r="F232" s="1" t="e">
        <f>VLOOKUP(AA232,[1]MaintenanceDuration_ID!$A$2:$B$5,2,FALSE)</f>
        <v>#N/A</v>
      </c>
      <c r="G232" s="1" t="e">
        <f>VLOOKUP(V232,[1]ExpectedDeliveryTime_ID!$A$2:$B$12,2,FALSE)</f>
        <v>#N/A</v>
      </c>
      <c r="H232" s="1" t="e">
        <f>VLOOKUP(AC232,[1]PaymentModel_ID!$A$2:$B$7,2,FALSE)</f>
        <v>#N/A</v>
      </c>
      <c r="I232" s="1" t="e">
        <f>VLOOKUP(W232,[1]ExpectedInvoiceDate_ID!$A$2:$B$12,2,FALSE)</f>
        <v>#N/A</v>
      </c>
      <c r="J232" s="1" t="e">
        <f>VLOOKUP(X232,[1]GrantOfRights_ID!$A$2:$B$7,2,FALSE)</f>
        <v>#N/A</v>
      </c>
      <c r="K232" s="1" t="str">
        <f>VLOOKUP(AE232,[1]Profile!$A$2:$B$8,2,FALSE)</f>
        <v>License</v>
      </c>
      <c r="M232" s="1" t="str">
        <f>VLOOKUP(Y232,[1]License_Method_ID!$A$2:$B$13,2,FALSE)</f>
        <v>EB GUIDE Node-Locked License File</v>
      </c>
      <c r="N232" s="1" t="s">
        <v>47</v>
      </c>
      <c r="O232" s="1">
        <v>10</v>
      </c>
      <c r="P232" s="1">
        <v>50</v>
      </c>
      <c r="Q232" s="1" t="str">
        <f>VLOOKUP(AB232,[1]Operational_Profit_Type_ID!$A$2:$B$3,2,FALSE)</f>
        <v>Fix rate</v>
      </c>
      <c r="R232" s="1" t="s">
        <v>55</v>
      </c>
      <c r="T232" s="1" t="str">
        <f>VLOOKUP(AD232,[1]UpdateRightID!$A$2:$B$4,2,FALSE)</f>
        <v>UpdateRightByConfiguration</v>
      </c>
      <c r="U232" s="1" t="s">
        <v>48</v>
      </c>
      <c r="Y232" s="1">
        <v>9</v>
      </c>
      <c r="AB232" s="1">
        <v>1</v>
      </c>
      <c r="AD232" s="1">
        <v>1</v>
      </c>
      <c r="AE232" s="1">
        <v>1</v>
      </c>
    </row>
    <row r="233" spans="1:31" ht="120">
      <c r="B233" s="1" t="s">
        <v>635</v>
      </c>
      <c r="C233" t="s">
        <v>636</v>
      </c>
      <c r="D233" s="1" t="s">
        <v>637</v>
      </c>
      <c r="E233" s="1" t="e">
        <f>VLOOKUP(Z233,[1]LicenseDuration_ID!$A$2:$B$8,2,FALSE)</f>
        <v>#N/A</v>
      </c>
      <c r="F233" s="1" t="e">
        <f>VLOOKUP(AA233,[1]MaintenanceDuration_ID!$A$2:$B$5,2,FALSE)</f>
        <v>#N/A</v>
      </c>
      <c r="G233" s="1" t="e">
        <f>VLOOKUP(V233,[1]ExpectedDeliveryTime_ID!$A$2:$B$12,2,FALSE)</f>
        <v>#N/A</v>
      </c>
      <c r="H233" s="1" t="e">
        <f>VLOOKUP(AC233,[1]PaymentModel_ID!$A$2:$B$7,2,FALSE)</f>
        <v>#N/A</v>
      </c>
      <c r="I233" s="1" t="e">
        <f>VLOOKUP(W233,[1]ExpectedInvoiceDate_ID!$A$2:$B$12,2,FALSE)</f>
        <v>#N/A</v>
      </c>
      <c r="J233" s="1" t="e">
        <f>VLOOKUP(X233,[1]GrantOfRights_ID!$A$2:$B$7,2,FALSE)</f>
        <v>#N/A</v>
      </c>
      <c r="K233" s="1" t="str">
        <f>VLOOKUP(AE233,[1]Profile!$A$2:$B$8,2,FALSE)</f>
        <v>License</v>
      </c>
      <c r="M233" s="1" t="str">
        <f>VLOOKUP(Y233,[1]License_Method_ID!$A$2:$B$13,2,FALSE)</f>
        <v>EB GUIDE Dongle License File</v>
      </c>
      <c r="N233" s="1" t="s">
        <v>47</v>
      </c>
      <c r="O233" s="1">
        <v>10</v>
      </c>
      <c r="P233" s="1">
        <v>50</v>
      </c>
      <c r="Q233" s="1" t="str">
        <f>VLOOKUP(AB233,[1]Operational_Profit_Type_ID!$A$2:$B$3,2,FALSE)</f>
        <v>Fix rate</v>
      </c>
      <c r="R233" s="1" t="s">
        <v>55</v>
      </c>
      <c r="T233" s="1" t="str">
        <f>VLOOKUP(AD233,[1]UpdateRightID!$A$2:$B$4,2,FALSE)</f>
        <v>UpdateRightByConfiguration</v>
      </c>
      <c r="U233" s="1" t="s">
        <v>48</v>
      </c>
      <c r="Y233" s="1">
        <v>11</v>
      </c>
      <c r="AB233" s="1">
        <v>1</v>
      </c>
      <c r="AD233" s="1">
        <v>1</v>
      </c>
      <c r="AE233" s="1">
        <v>1</v>
      </c>
    </row>
    <row r="234" spans="1:31" ht="90">
      <c r="B234" s="1" t="s">
        <v>638</v>
      </c>
      <c r="C234" t="s">
        <v>639</v>
      </c>
      <c r="D234" s="1" t="s">
        <v>640</v>
      </c>
      <c r="E234" s="1" t="e">
        <f>VLOOKUP(Z234,[1]LicenseDuration_ID!$A$2:$B$8,2,FALSE)</f>
        <v>#N/A</v>
      </c>
      <c r="F234" s="1" t="e">
        <f>VLOOKUP(AA234,[1]MaintenanceDuration_ID!$A$2:$B$5,2,FALSE)</f>
        <v>#N/A</v>
      </c>
      <c r="G234" s="1" t="e">
        <f>VLOOKUP(V234,[1]ExpectedDeliveryTime_ID!$A$2:$B$12,2,FALSE)</f>
        <v>#N/A</v>
      </c>
      <c r="H234" s="1" t="e">
        <f>VLOOKUP(AC234,[1]PaymentModel_ID!$A$2:$B$7,2,FALSE)</f>
        <v>#N/A</v>
      </c>
      <c r="I234" s="1" t="e">
        <f>VLOOKUP(W234,[1]ExpectedInvoiceDate_ID!$A$2:$B$12,2,FALSE)</f>
        <v>#N/A</v>
      </c>
      <c r="J234" s="1" t="e">
        <f>VLOOKUP(X234,[1]GrantOfRights_ID!$A$2:$B$7,2,FALSE)</f>
        <v>#N/A</v>
      </c>
      <c r="K234" s="1" t="str">
        <f>VLOOKUP(AE234,[1]Profile!$A$2:$B$8,2,FALSE)</f>
        <v>License</v>
      </c>
      <c r="M234" s="1" t="str">
        <f>VLOOKUP(Y234,[1]License_Method_ID!$A$2:$B$13,2,FALSE)</f>
        <v>FlexNet Publisher Dongle License File</v>
      </c>
      <c r="N234" s="1" t="s">
        <v>47</v>
      </c>
      <c r="O234" s="1">
        <v>10</v>
      </c>
      <c r="P234" s="1">
        <v>50</v>
      </c>
      <c r="Q234" s="1" t="str">
        <f>VLOOKUP(AB234,[1]Operational_Profit_Type_ID!$A$2:$B$3,2,FALSE)</f>
        <v>Fix rate</v>
      </c>
      <c r="R234" s="1" t="s">
        <v>55</v>
      </c>
      <c r="T234" s="1" t="str">
        <f>VLOOKUP(AD234,[1]UpdateRightID!$A$2:$B$4,2,FALSE)</f>
        <v>none</v>
      </c>
      <c r="U234" s="1" t="s">
        <v>48</v>
      </c>
      <c r="Y234" s="1">
        <v>3</v>
      </c>
      <c r="AB234" s="1">
        <v>1</v>
      </c>
      <c r="AD234" s="1">
        <v>0</v>
      </c>
      <c r="AE234" s="1">
        <v>1</v>
      </c>
    </row>
    <row r="235" spans="1:31" ht="60">
      <c r="A235" s="1" t="s">
        <v>43</v>
      </c>
      <c r="B235" s="1" t="s">
        <v>641</v>
      </c>
      <c r="C235" t="s">
        <v>642</v>
      </c>
      <c r="D235" s="1" t="s">
        <v>51</v>
      </c>
      <c r="E235" s="1" t="str">
        <f>VLOOKUP(Z235,[1]LicenseDuration_ID!$A$2:$B$8,2,FALSE)</f>
        <v>3 months</v>
      </c>
      <c r="F235" s="1" t="str">
        <f>VLOOKUP(AA235,[1]MaintenanceDuration_ID!$A$2:$B$5,2,FALSE)</f>
        <v>3 months</v>
      </c>
      <c r="G235" s="1" t="str">
        <f>VLOOKUP(V235,[1]ExpectedDeliveryTime_ID!$A$2:$B$12,2,FALSE)</f>
        <v>FINALIZED PURCHASE PROCESS + 2 weeks</v>
      </c>
      <c r="H235" s="1" t="str">
        <f>VLOOKUP(AC235,[1]PaymentModel_ID!$A$2:$B$7,2,FALSE)</f>
        <v>One-time payment</v>
      </c>
      <c r="I235" s="1" t="str">
        <f>VLOOKUP(W235,[1]ExpectedInvoiceDate_ID!$A$2:$B$12,2,FALSE)</f>
        <v>With FINAL DELIVERY</v>
      </c>
      <c r="J235" s="1" t="str">
        <f>VLOOKUP(X235,[1]GrantOfRights_ID!$A$2:$B$7,2,FALSE)</f>
        <v>Elektrobit Tooling Licence</v>
      </c>
      <c r="K235" s="1" t="str">
        <f>VLOOKUP(AE235,[1]Profile!$A$2:$B$8,2,FALSE)</f>
        <v>License</v>
      </c>
      <c r="M235" s="1" t="str">
        <f>VLOOKUP(Y235,[1]License_Method_ID!$A$2:$B$13,2,FALSE)</f>
        <v>FlexNet Publisher Server Activation Code</v>
      </c>
      <c r="N235" s="1" t="s">
        <v>47</v>
      </c>
      <c r="O235" s="1">
        <v>10</v>
      </c>
      <c r="P235" s="1">
        <v>50</v>
      </c>
      <c r="Q235" s="1" t="str">
        <f>VLOOKUP(AB235,[1]Operational_Profit_Type_ID!$A$2:$B$3,2,FALSE)</f>
        <v>Fix rate</v>
      </c>
      <c r="R235" s="1" t="s">
        <v>55</v>
      </c>
      <c r="T235" s="1" t="str">
        <f>VLOOKUP(AD235,[1]UpdateRightID!$A$2:$B$4,2,FALSE)</f>
        <v>UpdateRightByConfiguration</v>
      </c>
      <c r="U235" s="1" t="s">
        <v>48</v>
      </c>
      <c r="V235" s="1">
        <v>2</v>
      </c>
      <c r="W235" s="1">
        <v>7</v>
      </c>
      <c r="X235" s="1">
        <v>2</v>
      </c>
      <c r="Y235" s="1">
        <v>2</v>
      </c>
      <c r="Z235" s="1">
        <v>2</v>
      </c>
      <c r="AA235" s="1">
        <v>2</v>
      </c>
      <c r="AB235" s="1">
        <v>1</v>
      </c>
      <c r="AC235" s="1">
        <v>2</v>
      </c>
      <c r="AD235" s="1">
        <v>1</v>
      </c>
      <c r="AE235" s="1">
        <v>1</v>
      </c>
    </row>
    <row r="236" spans="1:31" ht="30">
      <c r="B236" s="1" t="s">
        <v>643</v>
      </c>
      <c r="C236" t="s">
        <v>644</v>
      </c>
      <c r="D236" s="1" t="s">
        <v>645</v>
      </c>
      <c r="E236" s="1" t="e">
        <f>VLOOKUP(Z236,[1]LicenseDuration_ID!$A$2:$B$8,2,FALSE)</f>
        <v>#N/A</v>
      </c>
      <c r="F236" s="1" t="e">
        <f>VLOOKUP(AA236,[1]MaintenanceDuration_ID!$A$2:$B$5,2,FALSE)</f>
        <v>#N/A</v>
      </c>
      <c r="G236" s="1" t="e">
        <f>VLOOKUP(V236,[1]ExpectedDeliveryTime_ID!$A$2:$B$12,2,FALSE)</f>
        <v>#N/A</v>
      </c>
      <c r="H236" s="1" t="e">
        <f>VLOOKUP(AC236,[1]PaymentModel_ID!$A$2:$B$7,2,FALSE)</f>
        <v>#N/A</v>
      </c>
      <c r="I236" s="1" t="e">
        <f>VLOOKUP(W236,[1]ExpectedInvoiceDate_ID!$A$2:$B$12,2,FALSE)</f>
        <v>#N/A</v>
      </c>
      <c r="J236" s="1" t="e">
        <f>VLOOKUP(X236,[1]GrantOfRights_ID!$A$2:$B$7,2,FALSE)</f>
        <v>#N/A</v>
      </c>
      <c r="K236" s="1" t="str">
        <f>VLOOKUP(AE236,[1]Profile!$A$2:$B$8,2,FALSE)</f>
        <v>Integration Package</v>
      </c>
      <c r="M236" s="1" t="str">
        <f>VLOOKUP(Y236,[1]License_Method_ID!$A$2:$B$13,2,FALSE)</f>
        <v>no technical license protection</v>
      </c>
      <c r="N236" s="1" t="s">
        <v>88</v>
      </c>
      <c r="O236" s="1">
        <v>10</v>
      </c>
      <c r="Q236" s="1" t="str">
        <f>VLOOKUP(AB236,[1]Operational_Profit_Type_ID!$A$2:$B$3,2,FALSE)</f>
        <v>Calculated</v>
      </c>
      <c r="R236" s="1" t="s">
        <v>55</v>
      </c>
      <c r="T236" s="1" t="str">
        <f>VLOOKUP(AD236,[1]UpdateRightID!$A$2:$B$4,2,FALSE)</f>
        <v>none</v>
      </c>
      <c r="U236" s="1" t="s">
        <v>48</v>
      </c>
      <c r="Y236" s="1">
        <v>0</v>
      </c>
      <c r="AB236" s="1">
        <v>2</v>
      </c>
      <c r="AD236" s="1">
        <v>0</v>
      </c>
      <c r="AE236" s="1">
        <v>2</v>
      </c>
    </row>
    <row r="237" spans="1:31" ht="30">
      <c r="B237" s="1" t="s">
        <v>646</v>
      </c>
      <c r="C237" t="s">
        <v>647</v>
      </c>
      <c r="D237" s="1" t="s">
        <v>648</v>
      </c>
      <c r="E237" s="1" t="e">
        <f>VLOOKUP(Z237,[1]LicenseDuration_ID!$A$2:$B$8,2,FALSE)</f>
        <v>#N/A</v>
      </c>
      <c r="F237" s="1" t="e">
        <f>VLOOKUP(AA237,[1]MaintenanceDuration_ID!$A$2:$B$5,2,FALSE)</f>
        <v>#N/A</v>
      </c>
      <c r="G237" s="1" t="e">
        <f>VLOOKUP(V237,[1]ExpectedDeliveryTime_ID!$A$2:$B$12,2,FALSE)</f>
        <v>#N/A</v>
      </c>
      <c r="H237" s="1" t="e">
        <f>VLOOKUP(AC237,[1]PaymentModel_ID!$A$2:$B$7,2,FALSE)</f>
        <v>#N/A</v>
      </c>
      <c r="I237" s="1" t="e">
        <f>VLOOKUP(W237,[1]ExpectedInvoiceDate_ID!$A$2:$B$12,2,FALSE)</f>
        <v>#N/A</v>
      </c>
      <c r="J237" s="1" t="e">
        <f>VLOOKUP(X237,[1]GrantOfRights_ID!$A$2:$B$7,2,FALSE)</f>
        <v>#N/A</v>
      </c>
      <c r="K237" s="1" t="str">
        <f>VLOOKUP(AE237,[1]Profile!$A$2:$B$8,2,FALSE)</f>
        <v>Integration Package</v>
      </c>
      <c r="M237" s="1" t="str">
        <f>VLOOKUP(Y237,[1]License_Method_ID!$A$2:$B$13,2,FALSE)</f>
        <v>no technical license protection</v>
      </c>
      <c r="N237" s="1" t="s">
        <v>88</v>
      </c>
      <c r="O237" s="1">
        <v>10</v>
      </c>
      <c r="Q237" s="1" t="str">
        <f>VLOOKUP(AB237,[1]Operational_Profit_Type_ID!$A$2:$B$3,2,FALSE)</f>
        <v>Calculated</v>
      </c>
      <c r="R237" s="1" t="s">
        <v>55</v>
      </c>
      <c r="T237" s="1" t="str">
        <f>VLOOKUP(AD237,[1]UpdateRightID!$A$2:$B$4,2,FALSE)</f>
        <v>none</v>
      </c>
      <c r="U237" s="1" t="s">
        <v>48</v>
      </c>
      <c r="Y237" s="1">
        <v>0</v>
      </c>
      <c r="AB237" s="1">
        <v>2</v>
      </c>
      <c r="AD237" s="1">
        <v>0</v>
      </c>
      <c r="AE237" s="1">
        <v>2</v>
      </c>
    </row>
    <row r="238" spans="1:31" ht="30">
      <c r="B238" s="1" t="s">
        <v>649</v>
      </c>
      <c r="C238" t="s">
        <v>650</v>
      </c>
      <c r="D238" s="1" t="s">
        <v>651</v>
      </c>
      <c r="E238" s="1" t="e">
        <f>VLOOKUP(Z238,[1]LicenseDuration_ID!$A$2:$B$8,2,FALSE)</f>
        <v>#N/A</v>
      </c>
      <c r="F238" s="1" t="e">
        <f>VLOOKUP(AA238,[1]MaintenanceDuration_ID!$A$2:$B$5,2,FALSE)</f>
        <v>#N/A</v>
      </c>
      <c r="G238" s="1" t="e">
        <f>VLOOKUP(V238,[1]ExpectedDeliveryTime_ID!$A$2:$B$12,2,FALSE)</f>
        <v>#N/A</v>
      </c>
      <c r="H238" s="1" t="e">
        <f>VLOOKUP(AC238,[1]PaymentModel_ID!$A$2:$B$7,2,FALSE)</f>
        <v>#N/A</v>
      </c>
      <c r="I238" s="1" t="e">
        <f>VLOOKUP(W238,[1]ExpectedInvoiceDate_ID!$A$2:$B$12,2,FALSE)</f>
        <v>#N/A</v>
      </c>
      <c r="J238" s="1" t="e">
        <f>VLOOKUP(X238,[1]GrantOfRights_ID!$A$2:$B$7,2,FALSE)</f>
        <v>#N/A</v>
      </c>
      <c r="K238" s="1" t="str">
        <f>VLOOKUP(AE238,[1]Profile!$A$2:$B$8,2,FALSE)</f>
        <v>Qualification Package</v>
      </c>
      <c r="M238" s="1" t="str">
        <f>VLOOKUP(Y238,[1]License_Method_ID!$A$2:$B$13,2,FALSE)</f>
        <v>no technical license protection</v>
      </c>
      <c r="N238" s="1" t="s">
        <v>88</v>
      </c>
      <c r="O238" s="1">
        <v>10</v>
      </c>
      <c r="Q238" s="1" t="str">
        <f>VLOOKUP(AB238,[1]Operational_Profit_Type_ID!$A$2:$B$3,2,FALSE)</f>
        <v>Calculated</v>
      </c>
      <c r="R238" s="1" t="s">
        <v>55</v>
      </c>
      <c r="T238" s="1" t="str">
        <f>VLOOKUP(AD238,[1]UpdateRightID!$A$2:$B$4,2,FALSE)</f>
        <v>none</v>
      </c>
      <c r="U238" s="1" t="s">
        <v>48</v>
      </c>
      <c r="Y238" s="1">
        <v>0</v>
      </c>
      <c r="AB238" s="1">
        <v>2</v>
      </c>
      <c r="AD238" s="1">
        <v>0</v>
      </c>
      <c r="AE238" s="1">
        <v>3</v>
      </c>
    </row>
    <row r="239" spans="1:31" ht="90">
      <c r="B239" s="1" t="s">
        <v>652</v>
      </c>
      <c r="C239" t="s">
        <v>653</v>
      </c>
      <c r="D239" s="1" t="s">
        <v>654</v>
      </c>
      <c r="E239" s="1" t="e">
        <f>VLOOKUP(Z239,[1]LicenseDuration_ID!$A$2:$B$8,2,FALSE)</f>
        <v>#N/A</v>
      </c>
      <c r="F239" s="1" t="e">
        <f>VLOOKUP(AA239,[1]MaintenanceDuration_ID!$A$2:$B$5,2,FALSE)</f>
        <v>#N/A</v>
      </c>
      <c r="G239" s="1" t="e">
        <f>VLOOKUP(V239,[1]ExpectedDeliveryTime_ID!$A$2:$B$12,2,FALSE)</f>
        <v>#N/A</v>
      </c>
      <c r="H239" s="1" t="e">
        <f>VLOOKUP(AC239,[1]PaymentModel_ID!$A$2:$B$7,2,FALSE)</f>
        <v>#N/A</v>
      </c>
      <c r="I239" s="1" t="e">
        <f>VLOOKUP(W239,[1]ExpectedInvoiceDate_ID!$A$2:$B$12,2,FALSE)</f>
        <v>#N/A</v>
      </c>
      <c r="J239" s="1" t="e">
        <f>VLOOKUP(X239,[1]GrantOfRights_ID!$A$2:$B$7,2,FALSE)</f>
        <v>#N/A</v>
      </c>
      <c r="K239" s="1" t="str">
        <f>VLOOKUP(AE239,[1]Profile!$A$2:$B$8,2,FALSE)</f>
        <v>Qualification Package</v>
      </c>
      <c r="M239" s="1" t="str">
        <f>VLOOKUP(Y239,[1]License_Method_ID!$A$2:$B$13,2,FALSE)</f>
        <v>no technical license protection</v>
      </c>
      <c r="N239" s="1" t="s">
        <v>88</v>
      </c>
      <c r="O239" s="1">
        <v>10</v>
      </c>
      <c r="Q239" s="1" t="str">
        <f>VLOOKUP(AB239,[1]Operational_Profit_Type_ID!$A$2:$B$3,2,FALSE)</f>
        <v>Calculated</v>
      </c>
      <c r="R239" s="1" t="s">
        <v>55</v>
      </c>
      <c r="T239" s="1" t="str">
        <f>VLOOKUP(AD239,[1]UpdateRightID!$A$2:$B$4,2,FALSE)</f>
        <v>none</v>
      </c>
      <c r="U239" s="1" t="s">
        <v>48</v>
      </c>
      <c r="Y239" s="1">
        <v>0</v>
      </c>
      <c r="AB239" s="1">
        <v>2</v>
      </c>
      <c r="AD239" s="1">
        <v>0</v>
      </c>
      <c r="AE239" s="1">
        <v>3</v>
      </c>
    </row>
    <row r="240" spans="1:31" ht="120">
      <c r="B240" s="1" t="s">
        <v>655</v>
      </c>
      <c r="C240" t="s">
        <v>656</v>
      </c>
      <c r="D240" s="1" t="s">
        <v>657</v>
      </c>
      <c r="E240" s="1" t="e">
        <f>VLOOKUP(Z240,[1]LicenseDuration_ID!$A$2:$B$8,2,FALSE)</f>
        <v>#N/A</v>
      </c>
      <c r="F240" s="1" t="e">
        <f>VLOOKUP(AA240,[1]MaintenanceDuration_ID!$A$2:$B$5,2,FALSE)</f>
        <v>#N/A</v>
      </c>
      <c r="G240" s="1" t="e">
        <f>VLOOKUP(V240,[1]ExpectedDeliveryTime_ID!$A$2:$B$12,2,FALSE)</f>
        <v>#N/A</v>
      </c>
      <c r="H240" s="1" t="e">
        <f>VLOOKUP(AC240,[1]PaymentModel_ID!$A$2:$B$7,2,FALSE)</f>
        <v>#N/A</v>
      </c>
      <c r="I240" s="1" t="e">
        <f>VLOOKUP(W240,[1]ExpectedInvoiceDate_ID!$A$2:$B$12,2,FALSE)</f>
        <v>#N/A</v>
      </c>
      <c r="J240" s="1" t="e">
        <f>VLOOKUP(X240,[1]GrantOfRights_ID!$A$2:$B$7,2,FALSE)</f>
        <v>#N/A</v>
      </c>
      <c r="K240" s="1" t="str">
        <f>VLOOKUP(AE240,[1]Profile!$A$2:$B$8,2,FALSE)</f>
        <v>Integration Package</v>
      </c>
      <c r="M240" s="1" t="str">
        <f>VLOOKUP(Y240,[1]License_Method_ID!$A$2:$B$13,2,FALSE)</f>
        <v>no technical license protection</v>
      </c>
      <c r="N240" s="1" t="s">
        <v>88</v>
      </c>
      <c r="O240" s="1">
        <v>10</v>
      </c>
      <c r="Q240" s="1" t="str">
        <f>VLOOKUP(AB240,[1]Operational_Profit_Type_ID!$A$2:$B$3,2,FALSE)</f>
        <v>Calculated</v>
      </c>
      <c r="R240" s="1" t="s">
        <v>55</v>
      </c>
      <c r="T240" s="1" t="str">
        <f>VLOOKUP(AD240,[1]UpdateRightID!$A$2:$B$4,2,FALSE)</f>
        <v>none</v>
      </c>
      <c r="U240" s="1" t="s">
        <v>48</v>
      </c>
      <c r="Y240" s="1">
        <v>0</v>
      </c>
      <c r="AB240" s="1">
        <v>2</v>
      </c>
      <c r="AD240" s="1">
        <v>0</v>
      </c>
      <c r="AE240" s="1">
        <v>2</v>
      </c>
    </row>
    <row r="241" spans="1:31" ht="120">
      <c r="B241" s="1" t="s">
        <v>658</v>
      </c>
      <c r="C241" t="s">
        <v>659</v>
      </c>
      <c r="D241" s="1" t="s">
        <v>660</v>
      </c>
      <c r="E241" s="1" t="e">
        <f>VLOOKUP(Z241,[1]LicenseDuration_ID!$A$2:$B$8,2,FALSE)</f>
        <v>#N/A</v>
      </c>
      <c r="F241" s="1" t="e">
        <f>VLOOKUP(AA241,[1]MaintenanceDuration_ID!$A$2:$B$5,2,FALSE)</f>
        <v>#N/A</v>
      </c>
      <c r="G241" s="1" t="e">
        <f>VLOOKUP(V241,[1]ExpectedDeliveryTime_ID!$A$2:$B$12,2,FALSE)</f>
        <v>#N/A</v>
      </c>
      <c r="H241" s="1" t="e">
        <f>VLOOKUP(AC241,[1]PaymentModel_ID!$A$2:$B$7,2,FALSE)</f>
        <v>#N/A</v>
      </c>
      <c r="I241" s="1" t="e">
        <f>VLOOKUP(W241,[1]ExpectedInvoiceDate_ID!$A$2:$B$12,2,FALSE)</f>
        <v>#N/A</v>
      </c>
      <c r="J241" s="1" t="e">
        <f>VLOOKUP(X241,[1]GrantOfRights_ID!$A$2:$B$7,2,FALSE)</f>
        <v>#N/A</v>
      </c>
      <c r="K241" s="1" t="str">
        <f>VLOOKUP(AE241,[1]Profile!$A$2:$B$8,2,FALSE)</f>
        <v>Integration Package</v>
      </c>
      <c r="M241" s="1" t="str">
        <f>VLOOKUP(Y241,[1]License_Method_ID!$A$2:$B$13,2,FALSE)</f>
        <v>no technical license protection</v>
      </c>
      <c r="N241" s="1" t="s">
        <v>88</v>
      </c>
      <c r="O241" s="1">
        <v>10</v>
      </c>
      <c r="Q241" s="1" t="str">
        <f>VLOOKUP(AB241,[1]Operational_Profit_Type_ID!$A$2:$B$3,2,FALSE)</f>
        <v>Calculated</v>
      </c>
      <c r="R241" s="1" t="s">
        <v>55</v>
      </c>
      <c r="T241" s="1" t="str">
        <f>VLOOKUP(AD241,[1]UpdateRightID!$A$2:$B$4,2,FALSE)</f>
        <v>none</v>
      </c>
      <c r="U241" s="1" t="s">
        <v>48</v>
      </c>
      <c r="Y241" s="1">
        <v>0</v>
      </c>
      <c r="AB241" s="1">
        <v>2</v>
      </c>
      <c r="AD241" s="1">
        <v>0</v>
      </c>
      <c r="AE241" s="1">
        <v>2</v>
      </c>
    </row>
    <row r="242" spans="1:31" ht="45">
      <c r="B242" s="1" t="s">
        <v>661</v>
      </c>
      <c r="C242" t="s">
        <v>662</v>
      </c>
      <c r="D242" s="1" t="s">
        <v>663</v>
      </c>
      <c r="E242" s="1" t="e">
        <f>VLOOKUP(Z242,[1]LicenseDuration_ID!$A$2:$B$8,2,FALSE)</f>
        <v>#N/A</v>
      </c>
      <c r="F242" s="1" t="e">
        <f>VLOOKUP(AA242,[1]MaintenanceDuration_ID!$A$2:$B$5,2,FALSE)</f>
        <v>#N/A</v>
      </c>
      <c r="G242" s="1" t="e">
        <f>VLOOKUP(V242,[1]ExpectedDeliveryTime_ID!$A$2:$B$12,2,FALSE)</f>
        <v>#N/A</v>
      </c>
      <c r="H242" s="1" t="e">
        <f>VLOOKUP(AC242,[1]PaymentModel_ID!$A$2:$B$7,2,FALSE)</f>
        <v>#N/A</v>
      </c>
      <c r="I242" s="1" t="e">
        <f>VLOOKUP(W242,[1]ExpectedInvoiceDate_ID!$A$2:$B$12,2,FALSE)</f>
        <v>#N/A</v>
      </c>
      <c r="J242" s="1" t="e">
        <f>VLOOKUP(X242,[1]GrantOfRights_ID!$A$2:$B$7,2,FALSE)</f>
        <v>#N/A</v>
      </c>
      <c r="K242" s="1" t="str">
        <f>VLOOKUP(AE242,[1]Profile!$A$2:$B$8,2,FALSE)</f>
        <v>Qualification Package</v>
      </c>
      <c r="M242" s="1" t="str">
        <f>VLOOKUP(Y242,[1]License_Method_ID!$A$2:$B$13,2,FALSE)</f>
        <v>no technical license protection</v>
      </c>
      <c r="N242" s="1" t="s">
        <v>88</v>
      </c>
      <c r="O242" s="1">
        <v>10</v>
      </c>
      <c r="Q242" s="1" t="str">
        <f>VLOOKUP(AB242,[1]Operational_Profit_Type_ID!$A$2:$B$3,2,FALSE)</f>
        <v>Calculated</v>
      </c>
      <c r="R242" s="1" t="s">
        <v>55</v>
      </c>
      <c r="T242" s="1" t="str">
        <f>VLOOKUP(AD242,[1]UpdateRightID!$A$2:$B$4,2,FALSE)</f>
        <v>none</v>
      </c>
      <c r="U242" s="1" t="s">
        <v>48</v>
      </c>
      <c r="Y242" s="1">
        <v>0</v>
      </c>
      <c r="AB242" s="1">
        <v>2</v>
      </c>
      <c r="AD242" s="1">
        <v>0</v>
      </c>
      <c r="AE242" s="1">
        <v>3</v>
      </c>
    </row>
    <row r="243" spans="1:31" ht="45">
      <c r="B243" s="1" t="s">
        <v>664</v>
      </c>
      <c r="C243" t="s">
        <v>665</v>
      </c>
      <c r="D243" s="1" t="s">
        <v>666</v>
      </c>
      <c r="E243" s="1" t="e">
        <f>VLOOKUP(Z243,[1]LicenseDuration_ID!$A$2:$B$8,2,FALSE)</f>
        <v>#N/A</v>
      </c>
      <c r="F243" s="1" t="e">
        <f>VLOOKUP(AA243,[1]MaintenanceDuration_ID!$A$2:$B$5,2,FALSE)</f>
        <v>#N/A</v>
      </c>
      <c r="G243" s="1" t="e">
        <f>VLOOKUP(V243,[1]ExpectedDeliveryTime_ID!$A$2:$B$12,2,FALSE)</f>
        <v>#N/A</v>
      </c>
      <c r="H243" s="1" t="e">
        <f>VLOOKUP(AC243,[1]PaymentModel_ID!$A$2:$B$7,2,FALSE)</f>
        <v>#N/A</v>
      </c>
      <c r="I243" s="1" t="e">
        <f>VLOOKUP(W243,[1]ExpectedInvoiceDate_ID!$A$2:$B$12,2,FALSE)</f>
        <v>#N/A</v>
      </c>
      <c r="J243" s="1" t="e">
        <f>VLOOKUP(X243,[1]GrantOfRights_ID!$A$2:$B$7,2,FALSE)</f>
        <v>#N/A</v>
      </c>
      <c r="K243" s="1" t="str">
        <f>VLOOKUP(AE243,[1]Profile!$A$2:$B$8,2,FALSE)</f>
        <v>Qualification Package</v>
      </c>
      <c r="M243" s="1" t="str">
        <f>VLOOKUP(Y243,[1]License_Method_ID!$A$2:$B$13,2,FALSE)</f>
        <v>no technical license protection</v>
      </c>
      <c r="N243" s="1" t="s">
        <v>88</v>
      </c>
      <c r="O243" s="1">
        <v>10</v>
      </c>
      <c r="Q243" s="1" t="str">
        <f>VLOOKUP(AB243,[1]Operational_Profit_Type_ID!$A$2:$B$3,2,FALSE)</f>
        <v>Calculated</v>
      </c>
      <c r="R243" s="1" t="s">
        <v>55</v>
      </c>
      <c r="T243" s="1" t="str">
        <f>VLOOKUP(AD243,[1]UpdateRightID!$A$2:$B$4,2,FALSE)</f>
        <v>none</v>
      </c>
      <c r="U243" s="1" t="s">
        <v>48</v>
      </c>
      <c r="Y243" s="1">
        <v>0</v>
      </c>
      <c r="AB243" s="1">
        <v>2</v>
      </c>
      <c r="AD243" s="1">
        <v>0</v>
      </c>
      <c r="AE243" s="1">
        <v>3</v>
      </c>
    </row>
    <row r="244" spans="1:31" ht="27" customHeight="1">
      <c r="B244" s="1" t="s">
        <v>667</v>
      </c>
      <c r="C244" t="s">
        <v>668</v>
      </c>
      <c r="D244" s="1" t="s">
        <v>669</v>
      </c>
      <c r="E244" s="1" t="e">
        <f>VLOOKUP(Z244,[1]LicenseDuration_ID!$A$2:$B$8,2,FALSE)</f>
        <v>#N/A</v>
      </c>
      <c r="F244" s="1" t="e">
        <f>VLOOKUP(AA244,[1]MaintenanceDuration_ID!$A$2:$B$5,2,FALSE)</f>
        <v>#N/A</v>
      </c>
      <c r="G244" s="1" t="e">
        <f>VLOOKUP(V244,[1]ExpectedDeliveryTime_ID!$A$2:$B$12,2,FALSE)</f>
        <v>#N/A</v>
      </c>
      <c r="H244" s="1" t="e">
        <f>VLOOKUP(AC244,[1]PaymentModel_ID!$A$2:$B$7,2,FALSE)</f>
        <v>#N/A</v>
      </c>
      <c r="I244" s="1" t="e">
        <f>VLOOKUP(W244,[1]ExpectedInvoiceDate_ID!$A$2:$B$12,2,FALSE)</f>
        <v>#N/A</v>
      </c>
      <c r="J244" s="1" t="e">
        <f>VLOOKUP(X244,[1]GrantOfRights_ID!$A$2:$B$7,2,FALSE)</f>
        <v>#N/A</v>
      </c>
      <c r="K244" s="1" t="str">
        <f>VLOOKUP(AE244,[1]Profile!$A$2:$B$8,2,FALSE)</f>
        <v>Integration Package</v>
      </c>
      <c r="M244" s="1" t="str">
        <f>VLOOKUP(Y244,[1]License_Method_ID!$A$2:$B$13,2,FALSE)</f>
        <v>no technical license protection</v>
      </c>
      <c r="N244" s="1" t="s">
        <v>88</v>
      </c>
      <c r="O244" s="1">
        <v>10</v>
      </c>
      <c r="Q244" s="1" t="str">
        <f>VLOOKUP(AB244,[1]Operational_Profit_Type_ID!$A$2:$B$3,2,FALSE)</f>
        <v>Calculated</v>
      </c>
      <c r="R244" s="1" t="s">
        <v>55</v>
      </c>
      <c r="T244" s="1" t="str">
        <f>VLOOKUP(AD244,[1]UpdateRightID!$A$2:$B$4,2,FALSE)</f>
        <v>none</v>
      </c>
      <c r="U244" s="1" t="s">
        <v>48</v>
      </c>
      <c r="Y244" s="1">
        <v>0</v>
      </c>
      <c r="AB244" s="1">
        <v>2</v>
      </c>
      <c r="AD244" s="1">
        <v>0</v>
      </c>
      <c r="AE244" s="1">
        <v>2</v>
      </c>
    </row>
    <row r="245" spans="1:31" ht="65.25" customHeight="1">
      <c r="B245" s="1" t="s">
        <v>670</v>
      </c>
      <c r="C245" t="s">
        <v>671</v>
      </c>
      <c r="D245" s="1" t="s">
        <v>672</v>
      </c>
      <c r="E245" s="1" t="e">
        <f>VLOOKUP(Z245,[1]LicenseDuration_ID!$A$2:$B$8,2,FALSE)</f>
        <v>#N/A</v>
      </c>
      <c r="F245" s="1" t="e">
        <f>VLOOKUP(AA245,[1]MaintenanceDuration_ID!$A$2:$B$5,2,FALSE)</f>
        <v>#N/A</v>
      </c>
      <c r="G245" s="1" t="e">
        <f>VLOOKUP(V245,[1]ExpectedDeliveryTime_ID!$A$2:$B$12,2,FALSE)</f>
        <v>#N/A</v>
      </c>
      <c r="H245" s="1" t="e">
        <f>VLOOKUP(AC245,[1]PaymentModel_ID!$A$2:$B$7,2,FALSE)</f>
        <v>#N/A</v>
      </c>
      <c r="I245" s="1" t="e">
        <f>VLOOKUP(W245,[1]ExpectedInvoiceDate_ID!$A$2:$B$12,2,FALSE)</f>
        <v>#N/A</v>
      </c>
      <c r="J245" s="1" t="e">
        <f>VLOOKUP(X245,[1]GrantOfRights_ID!$A$2:$B$7,2,FALSE)</f>
        <v>#N/A</v>
      </c>
      <c r="K245" s="1" t="str">
        <f>VLOOKUP(AE245,[1]Profile!$A$2:$B$8,2,FALSE)</f>
        <v>Integration Package</v>
      </c>
      <c r="M245" s="1" t="str">
        <f>VLOOKUP(Y245,[1]License_Method_ID!$A$2:$B$13,2,FALSE)</f>
        <v>no technical license protection</v>
      </c>
      <c r="N245" s="1" t="s">
        <v>88</v>
      </c>
      <c r="O245" s="1">
        <v>10</v>
      </c>
      <c r="Q245" s="1" t="str">
        <f>VLOOKUP(AB245,[1]Operational_Profit_Type_ID!$A$2:$B$3,2,FALSE)</f>
        <v>Calculated</v>
      </c>
      <c r="R245" s="1" t="s">
        <v>55</v>
      </c>
      <c r="T245" s="1" t="str">
        <f>VLOOKUP(AD245,[1]UpdateRightID!$A$2:$B$4,2,FALSE)</f>
        <v>none</v>
      </c>
      <c r="U245" s="1" t="s">
        <v>48</v>
      </c>
      <c r="Y245" s="1">
        <v>0</v>
      </c>
      <c r="AB245" s="1">
        <v>2</v>
      </c>
      <c r="AD245" s="1">
        <v>0</v>
      </c>
      <c r="AE245" s="1">
        <v>2</v>
      </c>
    </row>
    <row r="246" spans="1:31" ht="75">
      <c r="B246" s="1" t="s">
        <v>673</v>
      </c>
      <c r="C246" t="s">
        <v>674</v>
      </c>
      <c r="D246" s="1" t="s">
        <v>675</v>
      </c>
      <c r="E246" s="1" t="e">
        <f>VLOOKUP(Z246,[1]LicenseDuration_ID!$A$2:$B$8,2,FALSE)</f>
        <v>#N/A</v>
      </c>
      <c r="F246" s="1" t="e">
        <f>VLOOKUP(AA246,[1]MaintenanceDuration_ID!$A$2:$B$5,2,FALSE)</f>
        <v>#N/A</v>
      </c>
      <c r="G246" s="1" t="e">
        <f>VLOOKUP(V246,[1]ExpectedDeliveryTime_ID!$A$2:$B$12,2,FALSE)</f>
        <v>#N/A</v>
      </c>
      <c r="H246" s="1" t="e">
        <f>VLOOKUP(AC246,[1]PaymentModel_ID!$A$2:$B$7,2,FALSE)</f>
        <v>#N/A</v>
      </c>
      <c r="I246" s="1" t="e">
        <f>VLOOKUP(W246,[1]ExpectedInvoiceDate_ID!$A$2:$B$12,2,FALSE)</f>
        <v>#N/A</v>
      </c>
      <c r="J246" s="1" t="e">
        <f>VLOOKUP(X246,[1]GrantOfRights_ID!$A$2:$B$7,2,FALSE)</f>
        <v>#N/A</v>
      </c>
      <c r="K246" s="1" t="str">
        <f>VLOOKUP(AE246,[1]Profile!$A$2:$B$8,2,FALSE)</f>
        <v>Qualification Package</v>
      </c>
      <c r="M246" s="1" t="str">
        <f>VLOOKUP(Y246,[1]License_Method_ID!$A$2:$B$13,2,FALSE)</f>
        <v>no technical license protection</v>
      </c>
      <c r="N246" s="1" t="s">
        <v>88</v>
      </c>
      <c r="O246" s="1">
        <v>10</v>
      </c>
      <c r="Q246" s="1" t="str">
        <f>VLOOKUP(AB246,[1]Operational_Profit_Type_ID!$A$2:$B$3,2,FALSE)</f>
        <v>Calculated</v>
      </c>
      <c r="R246" s="1" t="s">
        <v>55</v>
      </c>
      <c r="T246" s="1" t="str">
        <f>VLOOKUP(AD246,[1]UpdateRightID!$A$2:$B$4,2,FALSE)</f>
        <v>none</v>
      </c>
      <c r="U246" s="1" t="s">
        <v>48</v>
      </c>
      <c r="Y246" s="1">
        <v>0</v>
      </c>
      <c r="AB246" s="1">
        <v>2</v>
      </c>
      <c r="AD246" s="1">
        <v>0</v>
      </c>
      <c r="AE246" s="1">
        <v>3</v>
      </c>
    </row>
    <row r="247" spans="1:31" ht="105">
      <c r="B247" s="1" t="s">
        <v>676</v>
      </c>
      <c r="C247" t="s">
        <v>677</v>
      </c>
      <c r="D247" s="1" t="s">
        <v>678</v>
      </c>
      <c r="E247" s="1" t="e">
        <f>VLOOKUP(Z247,[1]LicenseDuration_ID!$A$2:$B$8,2,FALSE)</f>
        <v>#N/A</v>
      </c>
      <c r="F247" s="1" t="e">
        <f>VLOOKUP(AA247,[1]MaintenanceDuration_ID!$A$2:$B$5,2,FALSE)</f>
        <v>#N/A</v>
      </c>
      <c r="G247" s="1" t="e">
        <f>VLOOKUP(V247,[1]ExpectedDeliveryTime_ID!$A$2:$B$12,2,FALSE)</f>
        <v>#N/A</v>
      </c>
      <c r="H247" s="1" t="e">
        <f>VLOOKUP(AC247,[1]PaymentModel_ID!$A$2:$B$7,2,FALSE)</f>
        <v>#N/A</v>
      </c>
      <c r="I247" s="1" t="e">
        <f>VLOOKUP(W247,[1]ExpectedInvoiceDate_ID!$A$2:$B$12,2,FALSE)</f>
        <v>#N/A</v>
      </c>
      <c r="J247" s="1" t="e">
        <f>VLOOKUP(X247,[1]GrantOfRights_ID!$A$2:$B$7,2,FALSE)</f>
        <v>#N/A</v>
      </c>
      <c r="K247" s="1" t="str">
        <f>VLOOKUP(AE247,[1]Profile!$A$2:$B$8,2,FALSE)</f>
        <v>Qualification Package</v>
      </c>
      <c r="M247" s="1" t="str">
        <f>VLOOKUP(Y247,[1]License_Method_ID!$A$2:$B$13,2,FALSE)</f>
        <v>no technical license protection</v>
      </c>
      <c r="N247" s="1" t="s">
        <v>88</v>
      </c>
      <c r="O247" s="1">
        <v>10</v>
      </c>
      <c r="Q247" s="1" t="str">
        <f>VLOOKUP(AB247,[1]Operational_Profit_Type_ID!$A$2:$B$3,2,FALSE)</f>
        <v>Calculated</v>
      </c>
      <c r="R247" s="1" t="s">
        <v>55</v>
      </c>
      <c r="T247" s="1" t="str">
        <f>VLOOKUP(AD247,[1]UpdateRightID!$A$2:$B$4,2,FALSE)</f>
        <v>none</v>
      </c>
      <c r="U247" s="1" t="s">
        <v>48</v>
      </c>
      <c r="Y247" s="1">
        <v>0</v>
      </c>
      <c r="AB247" s="1">
        <v>2</v>
      </c>
      <c r="AD247" s="1">
        <v>0</v>
      </c>
      <c r="AE247" s="1">
        <v>3</v>
      </c>
    </row>
    <row r="248" spans="1:31" ht="180">
      <c r="A248" s="1" t="s">
        <v>43</v>
      </c>
      <c r="B248" s="1" t="s">
        <v>679</v>
      </c>
      <c r="C248" t="s">
        <v>680</v>
      </c>
      <c r="D248" s="1" t="s">
        <v>681</v>
      </c>
      <c r="E248" s="1" t="str">
        <f>VLOOKUP(Z248,[1]LicenseDuration_ID!$A$2:$B$8,2,FALSE)</f>
        <v>n/a</v>
      </c>
      <c r="F248" s="1" t="str">
        <f>VLOOKUP(AA248,[1]MaintenanceDuration_ID!$A$2:$B$5,2,FALSE)</f>
        <v>12 months</v>
      </c>
      <c r="G248" s="1" t="str">
        <f>VLOOKUP(V248,[1]ExpectedDeliveryTime_ID!$A$2:$B$12,2,FALSE)</f>
        <v>n/a</v>
      </c>
      <c r="H248" s="1" t="str">
        <f>VLOOKUP(AC248,[1]PaymentModel_ID!$A$2:$B$7,2,FALSE)</f>
        <v>Annual payment</v>
      </c>
      <c r="I248" s="1" t="str">
        <f>VLOOKUP(W248,[1]ExpectedInvoiceDate_ID!$A$2:$B$12,2,FALSE)</f>
        <v>Anually at the beginning of the extended period</v>
      </c>
      <c r="J248" s="1" t="str">
        <f>VLOOKUP(X248,[1]GrantOfRights_ID!$A$2:$B$7,2,FALSE)</f>
        <v>n/a</v>
      </c>
      <c r="K248" s="1" t="str">
        <f>VLOOKUP(AE248,[1]Profile!$A$2:$B$8,2,FALSE)</f>
        <v>License</v>
      </c>
      <c r="M248" s="1" t="str">
        <f>VLOOKUP(Y248,[1]License_Method_ID!$A$2:$B$13,2,FALSE)</f>
        <v>no technical license protection</v>
      </c>
      <c r="N248" s="1" t="s">
        <v>47</v>
      </c>
      <c r="O248" s="1">
        <v>10</v>
      </c>
      <c r="P248" s="1">
        <v>50</v>
      </c>
      <c r="Q248" s="1" t="str">
        <f>VLOOKUP(AB248,[1]Operational_Profit_Type_ID!$A$2:$B$3,2,FALSE)</f>
        <v>Fix rate</v>
      </c>
      <c r="R248" s="1" t="s">
        <v>55</v>
      </c>
      <c r="T248" s="1" t="str">
        <f>VLOOKUP(AD248,[1]UpdateRightID!$A$2:$B$4,2,FALSE)</f>
        <v>TotalAmountAsUpdateRight</v>
      </c>
      <c r="U248" s="1" t="s">
        <v>48</v>
      </c>
      <c r="V248" s="1">
        <v>1</v>
      </c>
      <c r="W248" s="1">
        <v>2</v>
      </c>
      <c r="X248" s="1">
        <v>1</v>
      </c>
      <c r="Y248" s="1">
        <v>0</v>
      </c>
      <c r="Z248" s="1">
        <v>1</v>
      </c>
      <c r="AA248" s="1">
        <v>3</v>
      </c>
      <c r="AB248" s="1">
        <v>1</v>
      </c>
      <c r="AC248" s="1">
        <v>3</v>
      </c>
      <c r="AD248" s="1">
        <v>2</v>
      </c>
      <c r="AE248" s="1">
        <v>1</v>
      </c>
    </row>
    <row r="249" spans="1:31" ht="180">
      <c r="A249" s="1" t="s">
        <v>43</v>
      </c>
      <c r="B249" s="1" t="s">
        <v>682</v>
      </c>
      <c r="C249" t="s">
        <v>683</v>
      </c>
      <c r="D249" s="1" t="s">
        <v>684</v>
      </c>
      <c r="E249" s="1" t="str">
        <f>VLOOKUP(Z249,[1]LicenseDuration_ID!$A$2:$B$8,2,FALSE)</f>
        <v>n/a</v>
      </c>
      <c r="F249" s="1" t="str">
        <f>VLOOKUP(AA249,[1]MaintenanceDuration_ID!$A$2:$B$5,2,FALSE)</f>
        <v>12 months</v>
      </c>
      <c r="G249" s="1" t="str">
        <f>VLOOKUP(V249,[1]ExpectedDeliveryTime_ID!$A$2:$B$12,2,FALSE)</f>
        <v>n/a</v>
      </c>
      <c r="H249" s="1" t="str">
        <f>VLOOKUP(AC249,[1]PaymentModel_ID!$A$2:$B$7,2,FALSE)</f>
        <v>Annual payment</v>
      </c>
      <c r="I249" s="1" t="str">
        <f>VLOOKUP(W249,[1]ExpectedInvoiceDate_ID!$A$2:$B$12,2,FALSE)</f>
        <v>Anually at the beginning of the extended period</v>
      </c>
      <c r="J249" s="1" t="str">
        <f>VLOOKUP(X249,[1]GrantOfRights_ID!$A$2:$B$7,2,FALSE)</f>
        <v>n/a</v>
      </c>
      <c r="K249" s="1" t="str">
        <f>VLOOKUP(AE249,[1]Profile!$A$2:$B$8,2,FALSE)</f>
        <v>License</v>
      </c>
      <c r="M249" s="1" t="str">
        <f>VLOOKUP(Y249,[1]License_Method_ID!$A$2:$B$13,2,FALSE)</f>
        <v>no technical license protection</v>
      </c>
      <c r="N249" s="1" t="s">
        <v>47</v>
      </c>
      <c r="O249" s="1">
        <v>10</v>
      </c>
      <c r="P249" s="1">
        <v>50</v>
      </c>
      <c r="Q249" s="1" t="str">
        <f>VLOOKUP(AB249,[1]Operational_Profit_Type_ID!$A$2:$B$3,2,FALSE)</f>
        <v>Fix rate</v>
      </c>
      <c r="R249" s="1" t="s">
        <v>55</v>
      </c>
      <c r="T249" s="1" t="str">
        <f>VLOOKUP(AD249,[1]UpdateRightID!$A$2:$B$4,2,FALSE)</f>
        <v>TotalAmountAsUpdateRight</v>
      </c>
      <c r="U249" s="1" t="s">
        <v>48</v>
      </c>
      <c r="V249" s="1">
        <v>1</v>
      </c>
      <c r="W249" s="1">
        <v>2</v>
      </c>
      <c r="X249" s="1">
        <v>1</v>
      </c>
      <c r="Y249" s="1">
        <v>0</v>
      </c>
      <c r="Z249" s="1">
        <v>1</v>
      </c>
      <c r="AA249" s="1">
        <v>3</v>
      </c>
      <c r="AB249" s="1">
        <v>1</v>
      </c>
      <c r="AC249" s="1">
        <v>3</v>
      </c>
      <c r="AD249" s="1">
        <v>2</v>
      </c>
      <c r="AE249" s="1">
        <v>1</v>
      </c>
    </row>
    <row r="250" spans="1:31" ht="330">
      <c r="B250" s="1" t="s">
        <v>685</v>
      </c>
      <c r="C250" t="s">
        <v>686</v>
      </c>
      <c r="D250" s="1" t="s">
        <v>687</v>
      </c>
      <c r="E250" s="1" t="e">
        <f>VLOOKUP(Z250,[1]LicenseDuration_ID!$A$2:$B$8,2,FALSE)</f>
        <v>#N/A</v>
      </c>
      <c r="F250" s="1" t="e">
        <f>VLOOKUP(AA250,[1]MaintenanceDuration_ID!$A$2:$B$5,2,FALSE)</f>
        <v>#N/A</v>
      </c>
      <c r="G250" s="1" t="e">
        <f>VLOOKUP(V250,[1]ExpectedDeliveryTime_ID!$A$2:$B$12,2,FALSE)</f>
        <v>#N/A</v>
      </c>
      <c r="H250" s="1" t="e">
        <f>VLOOKUP(AC250,[1]PaymentModel_ID!$A$2:$B$7,2,FALSE)</f>
        <v>#N/A</v>
      </c>
      <c r="I250" s="1" t="e">
        <f>VLOOKUP(W250,[1]ExpectedInvoiceDate_ID!$A$2:$B$12,2,FALSE)</f>
        <v>#N/A</v>
      </c>
      <c r="J250" s="1" t="e">
        <f>VLOOKUP(X250,[1]GrantOfRights_ID!$A$2:$B$7,2,FALSE)</f>
        <v>#N/A</v>
      </c>
      <c r="K250" s="1" t="str">
        <f>VLOOKUP(AE250,[1]Profile!$A$2:$B$8,2,FALSE)</f>
        <v>License</v>
      </c>
      <c r="M250" s="1" t="str">
        <f>VLOOKUP(Y250,[1]License_Method_ID!$A$2:$B$13,2,FALSE)</f>
        <v>no technical license protection</v>
      </c>
      <c r="N250" s="1" t="s">
        <v>47</v>
      </c>
      <c r="O250" s="1">
        <v>10</v>
      </c>
      <c r="P250" s="1">
        <v>50</v>
      </c>
      <c r="Q250" s="1" t="str">
        <f>VLOOKUP(AB250,[1]Operational_Profit_Type_ID!$A$2:$B$3,2,FALSE)</f>
        <v>Fix rate</v>
      </c>
      <c r="R250" s="1" t="s">
        <v>55</v>
      </c>
      <c r="T250" s="1" t="str">
        <f>VLOOKUP(AD250,[1]UpdateRightID!$A$2:$B$4,2,FALSE)</f>
        <v>UpdateRightByConfiguration</v>
      </c>
      <c r="U250" s="1" t="s">
        <v>48</v>
      </c>
      <c r="Y250" s="1">
        <v>0</v>
      </c>
      <c r="AB250" s="1">
        <v>1</v>
      </c>
      <c r="AD250" s="1">
        <v>1</v>
      </c>
      <c r="AE250" s="1">
        <v>1</v>
      </c>
    </row>
    <row r="251" spans="1:31" ht="90">
      <c r="B251" s="1" t="s">
        <v>688</v>
      </c>
      <c r="C251" t="s">
        <v>689</v>
      </c>
      <c r="D251" s="1" t="s">
        <v>690</v>
      </c>
      <c r="E251" s="1" t="e">
        <f>VLOOKUP(Z251,[1]LicenseDuration_ID!$A$2:$B$8,2,FALSE)</f>
        <v>#N/A</v>
      </c>
      <c r="F251" s="1" t="e">
        <f>VLOOKUP(AA251,[1]MaintenanceDuration_ID!$A$2:$B$5,2,FALSE)</f>
        <v>#N/A</v>
      </c>
      <c r="G251" s="1" t="e">
        <f>VLOOKUP(V251,[1]ExpectedDeliveryTime_ID!$A$2:$B$12,2,FALSE)</f>
        <v>#N/A</v>
      </c>
      <c r="H251" s="1" t="e">
        <f>VLOOKUP(AC251,[1]PaymentModel_ID!$A$2:$B$7,2,FALSE)</f>
        <v>#N/A</v>
      </c>
      <c r="I251" s="1" t="e">
        <f>VLOOKUP(W251,[1]ExpectedInvoiceDate_ID!$A$2:$B$12,2,FALSE)</f>
        <v>#N/A</v>
      </c>
      <c r="J251" s="1" t="e">
        <f>VLOOKUP(X251,[1]GrantOfRights_ID!$A$2:$B$7,2,FALSE)</f>
        <v>#N/A</v>
      </c>
      <c r="K251" s="1" t="str">
        <f>VLOOKUP(AE251,[1]Profile!$A$2:$B$8,2,FALSE)</f>
        <v>License</v>
      </c>
      <c r="M251" s="1" t="str">
        <f>VLOOKUP(Y251,[1]License_Method_ID!$A$2:$B$13,2,FALSE)</f>
        <v>no technical license protection</v>
      </c>
      <c r="O251" s="1">
        <v>10</v>
      </c>
      <c r="P251" s="1">
        <v>50</v>
      </c>
      <c r="Q251" s="1" t="str">
        <f>VLOOKUP(AB251,[1]Operational_Profit_Type_ID!$A$2:$B$3,2,FALSE)</f>
        <v>Fix rate</v>
      </c>
      <c r="R251" s="1" t="s">
        <v>55</v>
      </c>
      <c r="T251" s="1" t="str">
        <f>VLOOKUP(AD251,[1]UpdateRightID!$A$2:$B$4,2,FALSE)</f>
        <v>none</v>
      </c>
      <c r="U251" s="1" t="s">
        <v>48</v>
      </c>
      <c r="Y251" s="1">
        <v>0</v>
      </c>
      <c r="AB251" s="1">
        <v>1</v>
      </c>
      <c r="AD251" s="1">
        <v>0</v>
      </c>
      <c r="AE251" s="1">
        <v>1</v>
      </c>
    </row>
    <row r="252" spans="1:31" ht="90">
      <c r="B252" s="1" t="s">
        <v>691</v>
      </c>
      <c r="C252" t="s">
        <v>692</v>
      </c>
      <c r="D252" s="1" t="s">
        <v>693</v>
      </c>
      <c r="E252" s="1" t="e">
        <f>VLOOKUP(Z252,[1]LicenseDuration_ID!$A$2:$B$8,2,FALSE)</f>
        <v>#N/A</v>
      </c>
      <c r="F252" s="1" t="e">
        <f>VLOOKUP(AA252,[1]MaintenanceDuration_ID!$A$2:$B$5,2,FALSE)</f>
        <v>#N/A</v>
      </c>
      <c r="G252" s="1" t="e">
        <f>VLOOKUP(V252,[1]ExpectedDeliveryTime_ID!$A$2:$B$12,2,FALSE)</f>
        <v>#N/A</v>
      </c>
      <c r="H252" s="1" t="e">
        <f>VLOOKUP(AC252,[1]PaymentModel_ID!$A$2:$B$7,2,FALSE)</f>
        <v>#N/A</v>
      </c>
      <c r="I252" s="1" t="e">
        <f>VLOOKUP(W252,[1]ExpectedInvoiceDate_ID!$A$2:$B$12,2,FALSE)</f>
        <v>#N/A</v>
      </c>
      <c r="J252" s="1" t="e">
        <f>VLOOKUP(X252,[1]GrantOfRights_ID!$A$2:$B$7,2,FALSE)</f>
        <v>#N/A</v>
      </c>
      <c r="K252" s="1" t="str">
        <f>VLOOKUP(AE252,[1]Profile!$A$2:$B$8,2,FALSE)</f>
        <v>License</v>
      </c>
      <c r="M252" s="1" t="str">
        <f>VLOOKUP(Y252,[1]License_Method_ID!$A$2:$B$13,2,FALSE)</f>
        <v>ADTF Node-Locked License File</v>
      </c>
      <c r="N252" s="1" t="s">
        <v>47</v>
      </c>
      <c r="O252" s="1">
        <v>10</v>
      </c>
      <c r="Q252" s="1" t="str">
        <f>VLOOKUP(AB252,[1]Operational_Profit_Type_ID!$A$2:$B$3,2,FALSE)</f>
        <v>Calculated</v>
      </c>
      <c r="R252" s="1" t="s">
        <v>48</v>
      </c>
      <c r="T252" s="1" t="str">
        <f>VLOOKUP(AD252,[1]UpdateRightID!$A$2:$B$4,2,FALSE)</f>
        <v>TotalAmountAsUpdateRight</v>
      </c>
      <c r="U252" s="1" t="s">
        <v>48</v>
      </c>
      <c r="Y252" s="1">
        <v>7</v>
      </c>
      <c r="AB252" s="1">
        <v>2</v>
      </c>
      <c r="AD252" s="1">
        <v>2</v>
      </c>
      <c r="AE252" s="1">
        <v>1</v>
      </c>
    </row>
    <row r="253" spans="1:31" ht="225">
      <c r="B253" s="1" t="s">
        <v>694</v>
      </c>
      <c r="C253" t="s">
        <v>695</v>
      </c>
      <c r="D253" s="1" t="s">
        <v>696</v>
      </c>
      <c r="E253" s="1" t="e">
        <f>VLOOKUP(Z253,[1]LicenseDuration_ID!$A$2:$B$8,2,FALSE)</f>
        <v>#N/A</v>
      </c>
      <c r="F253" s="1" t="e">
        <f>VLOOKUP(AA253,[1]MaintenanceDuration_ID!$A$2:$B$5,2,FALSE)</f>
        <v>#N/A</v>
      </c>
      <c r="G253" s="1" t="e">
        <f>VLOOKUP(V253,[1]ExpectedDeliveryTime_ID!$A$2:$B$12,2,FALSE)</f>
        <v>#N/A</v>
      </c>
      <c r="H253" s="1" t="e">
        <f>VLOOKUP(AC253,[1]PaymentModel_ID!$A$2:$B$7,2,FALSE)</f>
        <v>#N/A</v>
      </c>
      <c r="I253" s="1" t="e">
        <f>VLOOKUP(W253,[1]ExpectedInvoiceDate_ID!$A$2:$B$12,2,FALSE)</f>
        <v>#N/A</v>
      </c>
      <c r="J253" s="1" t="e">
        <f>VLOOKUP(X253,[1]GrantOfRights_ID!$A$2:$B$7,2,FALSE)</f>
        <v>#N/A</v>
      </c>
      <c r="K253" s="1" t="str">
        <f>VLOOKUP(AE253,[1]Profile!$A$2:$B$8,2,FALSE)</f>
        <v>License</v>
      </c>
      <c r="M253" s="1" t="str">
        <f>VLOOKUP(Y253,[1]License_Method_ID!$A$2:$B$13,2,FALSE)</f>
        <v>no technical license protection</v>
      </c>
      <c r="O253" s="1">
        <v>10</v>
      </c>
      <c r="P253" s="1">
        <v>50</v>
      </c>
      <c r="Q253" s="1" t="str">
        <f>VLOOKUP(AB253,[1]Operational_Profit_Type_ID!$A$2:$B$3,2,FALSE)</f>
        <v>Fix rate</v>
      </c>
      <c r="R253" s="1" t="s">
        <v>55</v>
      </c>
      <c r="T253" s="1" t="str">
        <f>VLOOKUP(AD253,[1]UpdateRightID!$A$2:$B$4,2,FALSE)</f>
        <v>none</v>
      </c>
      <c r="U253" s="1" t="s">
        <v>48</v>
      </c>
      <c r="Y253" s="1">
        <v>0</v>
      </c>
      <c r="AB253" s="1">
        <v>1</v>
      </c>
      <c r="AD253" s="1">
        <v>0</v>
      </c>
      <c r="AE253" s="1">
        <v>1</v>
      </c>
    </row>
    <row r="254" spans="1:31" ht="45">
      <c r="B254" s="1" t="s">
        <v>697</v>
      </c>
      <c r="C254" t="s">
        <v>698</v>
      </c>
      <c r="D254" s="1" t="s">
        <v>699</v>
      </c>
      <c r="E254" s="1" t="e">
        <f>VLOOKUP(Z254,[1]LicenseDuration_ID!$A$2:$B$8,2,FALSE)</f>
        <v>#N/A</v>
      </c>
      <c r="F254" s="1" t="e">
        <f>VLOOKUP(AA254,[1]MaintenanceDuration_ID!$A$2:$B$5,2,FALSE)</f>
        <v>#N/A</v>
      </c>
      <c r="G254" s="1" t="e">
        <f>VLOOKUP(V254,[1]ExpectedDeliveryTime_ID!$A$2:$B$12,2,FALSE)</f>
        <v>#N/A</v>
      </c>
      <c r="H254" s="1" t="e">
        <f>VLOOKUP(AC254,[1]PaymentModel_ID!$A$2:$B$7,2,FALSE)</f>
        <v>#N/A</v>
      </c>
      <c r="I254" s="1" t="e">
        <f>VLOOKUP(W254,[1]ExpectedInvoiceDate_ID!$A$2:$B$12,2,FALSE)</f>
        <v>#N/A</v>
      </c>
      <c r="J254" s="1" t="e">
        <f>VLOOKUP(X254,[1]GrantOfRights_ID!$A$2:$B$7,2,FALSE)</f>
        <v>#N/A</v>
      </c>
      <c r="K254" s="1" t="str">
        <f>VLOOKUP(AE254,[1]Profile!$A$2:$B$8,2,FALSE)</f>
        <v>License</v>
      </c>
      <c r="M254" s="1" t="str">
        <f>VLOOKUP(Y254,[1]License_Method_ID!$A$2:$B$13,2,FALSE)</f>
        <v>no technical license protection</v>
      </c>
      <c r="O254" s="1">
        <v>10</v>
      </c>
      <c r="P254" s="1">
        <v>50</v>
      </c>
      <c r="Q254" s="1" t="str">
        <f>VLOOKUP(AB254,[1]Operational_Profit_Type_ID!$A$2:$B$3,2,FALSE)</f>
        <v>Fix rate</v>
      </c>
      <c r="R254" s="1" t="s">
        <v>55</v>
      </c>
      <c r="T254" s="1" t="str">
        <f>VLOOKUP(AD254,[1]UpdateRightID!$A$2:$B$4,2,FALSE)</f>
        <v>none</v>
      </c>
      <c r="U254" s="1" t="s">
        <v>48</v>
      </c>
      <c r="Y254" s="1">
        <v>0</v>
      </c>
      <c r="AB254" s="1">
        <v>1</v>
      </c>
      <c r="AD254" s="1">
        <v>0</v>
      </c>
      <c r="AE254" s="1">
        <v>1</v>
      </c>
    </row>
    <row r="255" spans="1:31" ht="225">
      <c r="A255" s="1" t="s">
        <v>43</v>
      </c>
      <c r="B255" s="1" t="s">
        <v>700</v>
      </c>
      <c r="C255" t="s">
        <v>701</v>
      </c>
      <c r="D255" s="1" t="s">
        <v>180</v>
      </c>
      <c r="E255" s="1" t="str">
        <f>VLOOKUP(Z255,[1]LicenseDuration_ID!$A$2:$B$8,2,FALSE)</f>
        <v>perpetual</v>
      </c>
      <c r="F255" s="1" t="str">
        <f>VLOOKUP(AA255,[1]MaintenanceDuration_ID!$A$2:$B$5,2,FALSE)</f>
        <v>12 months</v>
      </c>
      <c r="G255" s="1" t="str">
        <f>VLOOKUP(V255,[1]ExpectedDeliveryTime_ID!$A$2:$B$12,2,FALSE)</f>
        <v>FINALIZED PURCHASE PROCESS + 2 weeks</v>
      </c>
      <c r="H255" s="1" t="str">
        <f>VLOOKUP(AC255,[1]PaymentModel_ID!$A$2:$B$7,2,FALSE)</f>
        <v>One-time payment</v>
      </c>
      <c r="I255" s="1" t="str">
        <f>VLOOKUP(W255,[1]ExpectedInvoiceDate_ID!$A$2:$B$12,2,FALSE)</f>
        <v>With FINAL DELIVERY</v>
      </c>
      <c r="J255" s="1" t="str">
        <f>VLOOKUP(X255,[1]GrantOfRights_ID!$A$2:$B$7,2,FALSE)</f>
        <v>Reproduction and Distribution License</v>
      </c>
      <c r="K255" s="1" t="str">
        <f>VLOOKUP(AE255,[1]Profile!$A$2:$B$8,2,FALSE)</f>
        <v>License</v>
      </c>
      <c r="M255" s="1" t="str">
        <f>VLOOKUP(Y255,[1]License_Method_ID!$A$2:$B$13,2,FALSE)</f>
        <v>no technical license protection</v>
      </c>
      <c r="N255" s="1" t="s">
        <v>47</v>
      </c>
      <c r="O255" s="1">
        <v>10</v>
      </c>
      <c r="P255" s="1">
        <v>50</v>
      </c>
      <c r="Q255" s="1" t="str">
        <f>VLOOKUP(AB255,[1]Operational_Profit_Type_ID!$A$2:$B$3,2,FALSE)</f>
        <v>Fix rate</v>
      </c>
      <c r="R255" s="1" t="s">
        <v>48</v>
      </c>
      <c r="T255" s="1" t="str">
        <f>VLOOKUP(AD255,[1]UpdateRightID!$A$2:$B$4,2,FALSE)</f>
        <v>UpdateRightByConfiguration</v>
      </c>
      <c r="U255" s="1" t="s">
        <v>48</v>
      </c>
      <c r="V255" s="1">
        <v>2</v>
      </c>
      <c r="W255" s="1">
        <v>7</v>
      </c>
      <c r="X255" s="1">
        <v>5</v>
      </c>
      <c r="Y255" s="1">
        <v>0</v>
      </c>
      <c r="Z255" s="1">
        <v>6</v>
      </c>
      <c r="AA255" s="1">
        <v>3</v>
      </c>
      <c r="AB255" s="1">
        <v>1</v>
      </c>
      <c r="AC255" s="1">
        <v>2</v>
      </c>
      <c r="AD255" s="1">
        <v>1</v>
      </c>
      <c r="AE255" s="1">
        <v>1</v>
      </c>
    </row>
    <row r="256" spans="1:31" ht="180">
      <c r="A256" s="1" t="s">
        <v>43</v>
      </c>
      <c r="B256" s="1" t="s">
        <v>702</v>
      </c>
      <c r="C256" t="s">
        <v>703</v>
      </c>
      <c r="D256" s="1" t="s">
        <v>704</v>
      </c>
      <c r="E256" s="1" t="str">
        <f>VLOOKUP(Z256,[1]LicenseDuration_ID!$A$2:$B$8,2,FALSE)</f>
        <v>n/a</v>
      </c>
      <c r="F256" s="1" t="str">
        <f>VLOOKUP(AA256,[1]MaintenanceDuration_ID!$A$2:$B$5,2,FALSE)</f>
        <v>12 months</v>
      </c>
      <c r="G256" s="1" t="str">
        <f>VLOOKUP(V256,[1]ExpectedDeliveryTime_ID!$A$2:$B$12,2,FALSE)</f>
        <v>n/a</v>
      </c>
      <c r="H256" s="1" t="str">
        <f>VLOOKUP(AC256,[1]PaymentModel_ID!$A$2:$B$7,2,FALSE)</f>
        <v>Annual payment</v>
      </c>
      <c r="I256" s="1" t="str">
        <f>VLOOKUP(W256,[1]ExpectedInvoiceDate_ID!$A$2:$B$12,2,FALSE)</f>
        <v>Anually at the beginning of the extended period</v>
      </c>
      <c r="J256" s="1" t="str">
        <f>VLOOKUP(X256,[1]GrantOfRights_ID!$A$2:$B$7,2,FALSE)</f>
        <v>n/a</v>
      </c>
      <c r="K256" s="1" t="str">
        <f>VLOOKUP(AE256,[1]Profile!$A$2:$B$8,2,FALSE)</f>
        <v>License</v>
      </c>
      <c r="M256" s="1" t="str">
        <f>VLOOKUP(Y256,[1]License_Method_ID!$A$2:$B$13,2,FALSE)</f>
        <v>no technical license protection</v>
      </c>
      <c r="N256" s="1" t="s">
        <v>47</v>
      </c>
      <c r="O256" s="1">
        <v>10</v>
      </c>
      <c r="P256" s="1">
        <v>50</v>
      </c>
      <c r="Q256" s="1" t="str">
        <f>VLOOKUP(AB256,[1]Operational_Profit_Type_ID!$A$2:$B$3,2,FALSE)</f>
        <v>Fix rate</v>
      </c>
      <c r="R256" s="1" t="s">
        <v>55</v>
      </c>
      <c r="T256" s="1" t="str">
        <f>VLOOKUP(AD256,[1]UpdateRightID!$A$2:$B$4,2,FALSE)</f>
        <v>TotalAmountAsUpdateRight</v>
      </c>
      <c r="U256" s="1" t="s">
        <v>48</v>
      </c>
      <c r="V256" s="1">
        <v>1</v>
      </c>
      <c r="W256" s="1">
        <v>2</v>
      </c>
      <c r="X256" s="1">
        <v>1</v>
      </c>
      <c r="Y256" s="1">
        <v>0</v>
      </c>
      <c r="Z256" s="1">
        <v>1</v>
      </c>
      <c r="AA256" s="1">
        <v>3</v>
      </c>
      <c r="AB256" s="1">
        <v>1</v>
      </c>
      <c r="AC256" s="1">
        <v>3</v>
      </c>
      <c r="AD256" s="1">
        <v>2</v>
      </c>
      <c r="AE256" s="1">
        <v>1</v>
      </c>
    </row>
    <row r="257" spans="1:31" ht="45">
      <c r="A257" s="1" t="s">
        <v>43</v>
      </c>
      <c r="B257" s="1" t="s">
        <v>705</v>
      </c>
      <c r="C257" t="s">
        <v>706</v>
      </c>
      <c r="D257" s="1" t="s">
        <v>707</v>
      </c>
      <c r="E257" s="1" t="str">
        <f>VLOOKUP(Z257,[1]LicenseDuration_ID!$A$2:$B$8,2,FALSE)</f>
        <v>n/a</v>
      </c>
      <c r="F257" s="1" t="str">
        <f>VLOOKUP(AA257,[1]MaintenanceDuration_ID!$A$2:$B$5,2,FALSE)</f>
        <v>n/a</v>
      </c>
      <c r="G257" s="1" t="str">
        <f>VLOOKUP(V257,[1]ExpectedDeliveryTime_ID!$A$2:$B$12,2,FALSE)</f>
        <v>In mutual alignment with the project</v>
      </c>
      <c r="H257" s="1" t="str">
        <f>VLOOKUP(AC257,[1]PaymentModel_ID!$A$2:$B$7,2,FALSE)</f>
        <v>One-time payment</v>
      </c>
      <c r="I257" s="1" t="str">
        <f>VLOOKUP(W257,[1]ExpectedInvoiceDate_ID!$A$2:$B$12,2,FALSE)</f>
        <v>With FINAL DELIVERY</v>
      </c>
      <c r="J257" s="1" t="str">
        <f>VLOOKUP(X257,[1]GrantOfRights_ID!$A$2:$B$7,2,FALSE)</f>
        <v>n/a</v>
      </c>
      <c r="K257" s="1" t="str">
        <f>VLOOKUP(AE257,[1]Profile!$A$2:$B$8,2,FALSE)</f>
        <v>Porting</v>
      </c>
      <c r="M257" s="1" t="str">
        <f>VLOOKUP(Y257,[1]License_Method_ID!$A$2:$B$13,2,FALSE)</f>
        <v>no technical license protection</v>
      </c>
      <c r="N257" s="1" t="s">
        <v>88</v>
      </c>
      <c r="O257" s="1">
        <v>10</v>
      </c>
      <c r="Q257" s="1" t="str">
        <f>VLOOKUP(AB257,[1]Operational_Profit_Type_ID!$A$2:$B$3,2,FALSE)</f>
        <v>Calculated</v>
      </c>
      <c r="R257" s="1" t="s">
        <v>55</v>
      </c>
      <c r="T257" s="1" t="str">
        <f>VLOOKUP(AD257,[1]UpdateRightID!$A$2:$B$4,2,FALSE)</f>
        <v>none</v>
      </c>
      <c r="U257" s="1" t="s">
        <v>48</v>
      </c>
      <c r="V257" s="1">
        <v>18</v>
      </c>
      <c r="W257" s="1">
        <v>7</v>
      </c>
      <c r="X257" s="1">
        <v>1</v>
      </c>
      <c r="Y257" s="1">
        <v>0</v>
      </c>
      <c r="Z257" s="1">
        <v>1</v>
      </c>
      <c r="AA257" s="1">
        <v>1</v>
      </c>
      <c r="AB257" s="1">
        <v>2</v>
      </c>
      <c r="AC257" s="1">
        <v>2</v>
      </c>
      <c r="AD257" s="1">
        <v>0</v>
      </c>
      <c r="AE257" s="1">
        <v>4</v>
      </c>
    </row>
    <row r="258" spans="1:31" ht="30">
      <c r="B258" s="1" t="s">
        <v>708</v>
      </c>
      <c r="C258" t="s">
        <v>709</v>
      </c>
      <c r="E258" s="1" t="e">
        <f>VLOOKUP(Z258,[1]LicenseDuration_ID!$A$2:$B$8,2,FALSE)</f>
        <v>#N/A</v>
      </c>
      <c r="F258" s="1" t="e">
        <f>VLOOKUP(AA258,[1]MaintenanceDuration_ID!$A$2:$B$5,2,FALSE)</f>
        <v>#N/A</v>
      </c>
      <c r="G258" s="1" t="e">
        <f>VLOOKUP(V258,[1]ExpectedDeliveryTime_ID!$A$2:$B$12,2,FALSE)</f>
        <v>#N/A</v>
      </c>
      <c r="H258" s="1" t="e">
        <f>VLOOKUP(AC258,[1]PaymentModel_ID!$A$2:$B$7,2,FALSE)</f>
        <v>#N/A</v>
      </c>
      <c r="I258" s="1" t="e">
        <f>VLOOKUP(W258,[1]ExpectedInvoiceDate_ID!$A$2:$B$12,2,FALSE)</f>
        <v>#N/A</v>
      </c>
      <c r="J258" s="1" t="e">
        <f>VLOOKUP(X258,[1]GrantOfRights_ID!$A$2:$B$7,2,FALSE)</f>
        <v>#N/A</v>
      </c>
      <c r="K258" s="1" t="str">
        <f>VLOOKUP(AE258,[1]Profile!$A$2:$B$8,2,FALSE)</f>
        <v>Qualification Package</v>
      </c>
      <c r="M258" s="1" t="str">
        <f>VLOOKUP(Y258,[1]License_Method_ID!$A$2:$B$13,2,FALSE)</f>
        <v>no technical license protection</v>
      </c>
      <c r="O258" s="1">
        <v>10</v>
      </c>
      <c r="P258" s="1">
        <v>50</v>
      </c>
      <c r="Q258" s="1" t="str">
        <f>VLOOKUP(AB258,[1]Operational_Profit_Type_ID!$A$2:$B$3,2,FALSE)</f>
        <v>Fix rate</v>
      </c>
      <c r="R258" s="1" t="s">
        <v>55</v>
      </c>
      <c r="T258" s="1" t="str">
        <f>VLOOKUP(AD258,[1]UpdateRightID!$A$2:$B$4,2,FALSE)</f>
        <v>none</v>
      </c>
      <c r="U258" s="1" t="s">
        <v>55</v>
      </c>
      <c r="Y258" s="1">
        <v>0</v>
      </c>
      <c r="AB258" s="1">
        <v>1</v>
      </c>
      <c r="AD258" s="1">
        <v>0</v>
      </c>
      <c r="AE258" s="1">
        <v>3</v>
      </c>
    </row>
    <row r="259" spans="1:31">
      <c r="B259" s="1" t="s">
        <v>710</v>
      </c>
      <c r="C259" t="s">
        <v>711</v>
      </c>
      <c r="E259" s="1" t="e">
        <f>VLOOKUP(Z259,[1]LicenseDuration_ID!$A$2:$B$8,2,FALSE)</f>
        <v>#N/A</v>
      </c>
      <c r="F259" s="1" t="e">
        <f>VLOOKUP(AA259,[1]MaintenanceDuration_ID!$A$2:$B$5,2,FALSE)</f>
        <v>#N/A</v>
      </c>
      <c r="G259" s="1" t="e">
        <f>VLOOKUP(V259,[1]ExpectedDeliveryTime_ID!$A$2:$B$12,2,FALSE)</f>
        <v>#N/A</v>
      </c>
      <c r="H259" s="1" t="e">
        <f>VLOOKUP(AC259,[1]PaymentModel_ID!$A$2:$B$7,2,FALSE)</f>
        <v>#N/A</v>
      </c>
      <c r="I259" s="1" t="e">
        <f>VLOOKUP(W259,[1]ExpectedInvoiceDate_ID!$A$2:$B$12,2,FALSE)</f>
        <v>#N/A</v>
      </c>
      <c r="J259" s="1" t="e">
        <f>VLOOKUP(X259,[1]GrantOfRights_ID!$A$2:$B$7,2,FALSE)</f>
        <v>#N/A</v>
      </c>
      <c r="K259" s="1" t="str">
        <f>VLOOKUP(AE259,[1]Profile!$A$2:$B$8,2,FALSE)</f>
        <v>Porting</v>
      </c>
      <c r="M259" s="1" t="str">
        <f>VLOOKUP(Y259,[1]License_Method_ID!$A$2:$B$13,2,FALSE)</f>
        <v>no technical license protection</v>
      </c>
      <c r="O259" s="1">
        <v>10</v>
      </c>
      <c r="P259" s="1">
        <v>50</v>
      </c>
      <c r="Q259" s="1" t="str">
        <f>VLOOKUP(AB259,[1]Operational_Profit_Type_ID!$A$2:$B$3,2,FALSE)</f>
        <v>Fix rate</v>
      </c>
      <c r="R259" s="1" t="s">
        <v>55</v>
      </c>
      <c r="T259" s="1" t="str">
        <f>VLOOKUP(AD259,[1]UpdateRightID!$A$2:$B$4,2,FALSE)</f>
        <v>none</v>
      </c>
      <c r="U259" s="1" t="s">
        <v>48</v>
      </c>
      <c r="Y259" s="1">
        <v>0</v>
      </c>
      <c r="AB259" s="1">
        <v>1</v>
      </c>
      <c r="AD259" s="1">
        <v>0</v>
      </c>
      <c r="AE259" s="1">
        <v>4</v>
      </c>
    </row>
    <row r="260" spans="1:31" ht="30">
      <c r="B260" s="1" t="s">
        <v>712</v>
      </c>
      <c r="C260" t="s">
        <v>713</v>
      </c>
      <c r="E260" s="1" t="e">
        <f>VLOOKUP(Z260,[1]LicenseDuration_ID!$A$2:$B$8,2,FALSE)</f>
        <v>#N/A</v>
      </c>
      <c r="F260" s="1" t="e">
        <f>VLOOKUP(AA260,[1]MaintenanceDuration_ID!$A$2:$B$5,2,FALSE)</f>
        <v>#N/A</v>
      </c>
      <c r="G260" s="1" t="e">
        <f>VLOOKUP(V260,[1]ExpectedDeliveryTime_ID!$A$2:$B$12,2,FALSE)</f>
        <v>#N/A</v>
      </c>
      <c r="H260" s="1" t="e">
        <f>VLOOKUP(AC260,[1]PaymentModel_ID!$A$2:$B$7,2,FALSE)</f>
        <v>#N/A</v>
      </c>
      <c r="I260" s="1" t="e">
        <f>VLOOKUP(W260,[1]ExpectedInvoiceDate_ID!$A$2:$B$12,2,FALSE)</f>
        <v>#N/A</v>
      </c>
      <c r="J260" s="1" t="e">
        <f>VLOOKUP(X260,[1]GrantOfRights_ID!$A$2:$B$7,2,FALSE)</f>
        <v>#N/A</v>
      </c>
      <c r="K260" s="1" t="str">
        <f>VLOOKUP(AE260,[1]Profile!$A$2:$B$8,2,FALSE)</f>
        <v>Qualification Package</v>
      </c>
      <c r="M260" s="1" t="str">
        <f>VLOOKUP(Y260,[1]License_Method_ID!$A$2:$B$13,2,FALSE)</f>
        <v>no technical license protection</v>
      </c>
      <c r="O260" s="1">
        <v>10</v>
      </c>
      <c r="P260" s="1">
        <v>50</v>
      </c>
      <c r="Q260" s="1" t="str">
        <f>VLOOKUP(AB260,[1]Operational_Profit_Type_ID!$A$2:$B$3,2,FALSE)</f>
        <v>Fix rate</v>
      </c>
      <c r="R260" s="1" t="s">
        <v>55</v>
      </c>
      <c r="T260" s="1" t="str">
        <f>VLOOKUP(AD260,[1]UpdateRightID!$A$2:$B$4,2,FALSE)</f>
        <v>none</v>
      </c>
      <c r="U260" s="1" t="s">
        <v>48</v>
      </c>
      <c r="Y260" s="1">
        <v>0</v>
      </c>
      <c r="AB260" s="1">
        <v>1</v>
      </c>
      <c r="AD260" s="1">
        <v>0</v>
      </c>
      <c r="AE260" s="1">
        <v>3</v>
      </c>
    </row>
    <row r="261" spans="1:31">
      <c r="B261" s="1" t="s">
        <v>714</v>
      </c>
      <c r="C261" t="s">
        <v>715</v>
      </c>
      <c r="E261" s="1" t="e">
        <f>VLOOKUP(Z261,[1]LicenseDuration_ID!$A$2:$B$8,2,FALSE)</f>
        <v>#N/A</v>
      </c>
      <c r="F261" s="1" t="e">
        <f>VLOOKUP(AA261,[1]MaintenanceDuration_ID!$A$2:$B$5,2,FALSE)</f>
        <v>#N/A</v>
      </c>
      <c r="G261" s="1" t="e">
        <f>VLOOKUP(V261,[1]ExpectedDeliveryTime_ID!$A$2:$B$12,2,FALSE)</f>
        <v>#N/A</v>
      </c>
      <c r="H261" s="1" t="e">
        <f>VLOOKUP(AC261,[1]PaymentModel_ID!$A$2:$B$7,2,FALSE)</f>
        <v>#N/A</v>
      </c>
      <c r="I261" s="1" t="e">
        <f>VLOOKUP(W261,[1]ExpectedInvoiceDate_ID!$A$2:$B$12,2,FALSE)</f>
        <v>#N/A</v>
      </c>
      <c r="J261" s="1" t="e">
        <f>VLOOKUP(X261,[1]GrantOfRights_ID!$A$2:$B$7,2,FALSE)</f>
        <v>#N/A</v>
      </c>
      <c r="K261" s="1" t="str">
        <f>VLOOKUP(AE261,[1]Profile!$A$2:$B$8,2,FALSE)</f>
        <v>Porting</v>
      </c>
      <c r="M261" s="1" t="str">
        <f>VLOOKUP(Y261,[1]License_Method_ID!$A$2:$B$13,2,FALSE)</f>
        <v>no technical license protection</v>
      </c>
      <c r="O261" s="1">
        <v>10</v>
      </c>
      <c r="P261" s="1">
        <v>50</v>
      </c>
      <c r="Q261" s="1" t="str">
        <f>VLOOKUP(AB261,[1]Operational_Profit_Type_ID!$A$2:$B$3,2,FALSE)</f>
        <v>Fix rate</v>
      </c>
      <c r="R261" s="1" t="s">
        <v>55</v>
      </c>
      <c r="T261" s="1" t="str">
        <f>VLOOKUP(AD261,[1]UpdateRightID!$A$2:$B$4,2,FALSE)</f>
        <v>none</v>
      </c>
      <c r="U261" s="1" t="s">
        <v>48</v>
      </c>
      <c r="Y261" s="1">
        <v>0</v>
      </c>
      <c r="AB261" s="1">
        <v>1</v>
      </c>
      <c r="AD261" s="1">
        <v>0</v>
      </c>
      <c r="AE261" s="1">
        <v>4</v>
      </c>
    </row>
    <row r="262" spans="1:31" ht="45">
      <c r="B262" s="1" t="s">
        <v>716</v>
      </c>
      <c r="C262" t="s">
        <v>717</v>
      </c>
      <c r="D262" s="1" t="s">
        <v>478</v>
      </c>
      <c r="E262" s="1" t="e">
        <f>VLOOKUP(Z262,[1]LicenseDuration_ID!$A$2:$B$8,2,FALSE)</f>
        <v>#N/A</v>
      </c>
      <c r="F262" s="1" t="e">
        <f>VLOOKUP(AA262,[1]MaintenanceDuration_ID!$A$2:$B$5,2,FALSE)</f>
        <v>#N/A</v>
      </c>
      <c r="G262" s="1" t="e">
        <f>VLOOKUP(V262,[1]ExpectedDeliveryTime_ID!$A$2:$B$12,2,FALSE)</f>
        <v>#N/A</v>
      </c>
      <c r="H262" s="1" t="e">
        <f>VLOOKUP(AC262,[1]PaymentModel_ID!$A$2:$B$7,2,FALSE)</f>
        <v>#N/A</v>
      </c>
      <c r="I262" s="1" t="e">
        <f>VLOOKUP(W262,[1]ExpectedInvoiceDate_ID!$A$2:$B$12,2,FALSE)</f>
        <v>#N/A</v>
      </c>
      <c r="J262" s="1" t="e">
        <f>VLOOKUP(X262,[1]GrantOfRights_ID!$A$2:$B$7,2,FALSE)</f>
        <v>#N/A</v>
      </c>
      <c r="K262" s="1" t="str">
        <f>VLOOKUP(AE262,[1]Profile!$A$2:$B$8,2,FALSE)</f>
        <v>License</v>
      </c>
      <c r="M262" s="1" t="str">
        <f>VLOOKUP(Y262,[1]License_Method_ID!$A$2:$B$13,2,FALSE)</f>
        <v>EB Hardware License File</v>
      </c>
      <c r="N262" s="1" t="s">
        <v>47</v>
      </c>
      <c r="O262" s="1">
        <v>10</v>
      </c>
      <c r="P262" s="1">
        <v>50</v>
      </c>
      <c r="Q262" s="1" t="str">
        <f>VLOOKUP(AB262,[1]Operational_Profit_Type_ID!$A$2:$B$3,2,FALSE)</f>
        <v>Fix rate</v>
      </c>
      <c r="R262" s="1" t="s">
        <v>48</v>
      </c>
      <c r="T262" s="1" t="str">
        <f>VLOOKUP(AD262,[1]UpdateRightID!$A$2:$B$4,2,FALSE)</f>
        <v>TotalAmountAsUpdateRight</v>
      </c>
      <c r="U262" s="1" t="s">
        <v>48</v>
      </c>
      <c r="Y262" s="1">
        <v>4</v>
      </c>
      <c r="AB262" s="1">
        <v>1</v>
      </c>
      <c r="AD262" s="1">
        <v>2</v>
      </c>
      <c r="AE262" s="1">
        <v>1</v>
      </c>
    </row>
    <row r="263" spans="1:31" ht="90">
      <c r="B263" s="1" t="s">
        <v>718</v>
      </c>
      <c r="C263" t="s">
        <v>719</v>
      </c>
      <c r="D263" s="1" t="s">
        <v>720</v>
      </c>
      <c r="E263" s="1" t="e">
        <f>VLOOKUP(Z263,[1]LicenseDuration_ID!$A$2:$B$8,2,FALSE)</f>
        <v>#N/A</v>
      </c>
      <c r="F263" s="1" t="e">
        <f>VLOOKUP(AA263,[1]MaintenanceDuration_ID!$A$2:$B$5,2,FALSE)</f>
        <v>#N/A</v>
      </c>
      <c r="G263" s="1" t="e">
        <f>VLOOKUP(V263,[1]ExpectedDeliveryTime_ID!$A$2:$B$12,2,FALSE)</f>
        <v>#N/A</v>
      </c>
      <c r="H263" s="1" t="e">
        <f>VLOOKUP(AC263,[1]PaymentModel_ID!$A$2:$B$7,2,FALSE)</f>
        <v>#N/A</v>
      </c>
      <c r="I263" s="1" t="e">
        <f>VLOOKUP(W263,[1]ExpectedInvoiceDate_ID!$A$2:$B$12,2,FALSE)</f>
        <v>#N/A</v>
      </c>
      <c r="J263" s="1" t="e">
        <f>VLOOKUP(X263,[1]GrantOfRights_ID!$A$2:$B$7,2,FALSE)</f>
        <v>#N/A</v>
      </c>
      <c r="K263" s="1" t="str">
        <f>VLOOKUP(AE263,[1]Profile!$A$2:$B$8,2,FALSE)</f>
        <v>License</v>
      </c>
      <c r="M263" s="1" t="str">
        <f>VLOOKUP(Y263,[1]License_Method_ID!$A$2:$B$13,2,FALSE)</f>
        <v>EB GUIDE Node-Locked License File</v>
      </c>
      <c r="N263" s="1" t="s">
        <v>47</v>
      </c>
      <c r="O263" s="1">
        <v>10</v>
      </c>
      <c r="P263" s="1">
        <v>50</v>
      </c>
      <c r="Q263" s="1" t="str">
        <f>VLOOKUP(AB263,[1]Operational_Profit_Type_ID!$A$2:$B$3,2,FALSE)</f>
        <v>Fix rate</v>
      </c>
      <c r="R263" s="1" t="s">
        <v>55</v>
      </c>
      <c r="T263" s="1" t="str">
        <f>VLOOKUP(AD263,[1]UpdateRightID!$A$2:$B$4,2,FALSE)</f>
        <v>none</v>
      </c>
      <c r="U263" s="1" t="s">
        <v>48</v>
      </c>
      <c r="Y263" s="1">
        <v>9</v>
      </c>
      <c r="AB263" s="1">
        <v>1</v>
      </c>
      <c r="AD263" s="1">
        <v>0</v>
      </c>
      <c r="AE263" s="1">
        <v>1</v>
      </c>
    </row>
    <row r="264" spans="1:31" ht="90">
      <c r="B264" s="1" t="s">
        <v>721</v>
      </c>
      <c r="C264" t="s">
        <v>722</v>
      </c>
      <c r="D264" s="1" t="s">
        <v>723</v>
      </c>
      <c r="E264" s="1" t="e">
        <f>VLOOKUP(Z264,[1]LicenseDuration_ID!$A$2:$B$8,2,FALSE)</f>
        <v>#N/A</v>
      </c>
      <c r="F264" s="1" t="e">
        <f>VLOOKUP(AA264,[1]MaintenanceDuration_ID!$A$2:$B$5,2,FALSE)</f>
        <v>#N/A</v>
      </c>
      <c r="G264" s="1" t="e">
        <f>VLOOKUP(V264,[1]ExpectedDeliveryTime_ID!$A$2:$B$12,2,FALSE)</f>
        <v>#N/A</v>
      </c>
      <c r="H264" s="1" t="e">
        <f>VLOOKUP(AC264,[1]PaymentModel_ID!$A$2:$B$7,2,FALSE)</f>
        <v>#N/A</v>
      </c>
      <c r="I264" s="1" t="e">
        <f>VLOOKUP(W264,[1]ExpectedInvoiceDate_ID!$A$2:$B$12,2,FALSE)</f>
        <v>#N/A</v>
      </c>
      <c r="J264" s="1" t="e">
        <f>VLOOKUP(X264,[1]GrantOfRights_ID!$A$2:$B$7,2,FALSE)</f>
        <v>#N/A</v>
      </c>
      <c r="K264" s="1" t="str">
        <f>VLOOKUP(AE264,[1]Profile!$A$2:$B$8,2,FALSE)</f>
        <v>Integration Package</v>
      </c>
      <c r="M264" s="1" t="str">
        <f>VLOOKUP(Y264,[1]License_Method_ID!$A$2:$B$13,2,FALSE)</f>
        <v>no technical license protection</v>
      </c>
      <c r="N264" s="1" t="s">
        <v>88</v>
      </c>
      <c r="O264" s="1">
        <v>10</v>
      </c>
      <c r="Q264" s="1" t="str">
        <f>VLOOKUP(AB264,[1]Operational_Profit_Type_ID!$A$2:$B$3,2,FALSE)</f>
        <v>Calculated</v>
      </c>
      <c r="R264" s="1" t="s">
        <v>55</v>
      </c>
      <c r="T264" s="1" t="str">
        <f>VLOOKUP(AD264,[1]UpdateRightID!$A$2:$B$4,2,FALSE)</f>
        <v>none</v>
      </c>
      <c r="U264" s="1" t="s">
        <v>48</v>
      </c>
      <c r="Y264" s="1">
        <v>0</v>
      </c>
      <c r="AB264" s="1">
        <v>2</v>
      </c>
      <c r="AD264" s="1">
        <v>0</v>
      </c>
      <c r="AE264" s="1">
        <v>2</v>
      </c>
    </row>
    <row r="265" spans="1:31" ht="60">
      <c r="B265" s="1" t="s">
        <v>724</v>
      </c>
      <c r="C265" t="s">
        <v>725</v>
      </c>
      <c r="D265" s="1" t="s">
        <v>726</v>
      </c>
      <c r="E265" s="1" t="e">
        <f>VLOOKUP(Z265,[1]LicenseDuration_ID!$A$2:$B$8,2,FALSE)</f>
        <v>#N/A</v>
      </c>
      <c r="F265" s="1" t="e">
        <f>VLOOKUP(AA265,[1]MaintenanceDuration_ID!$A$2:$B$5,2,FALSE)</f>
        <v>#N/A</v>
      </c>
      <c r="G265" s="1" t="e">
        <f>VLOOKUP(V265,[1]ExpectedDeliveryTime_ID!$A$2:$B$12,2,FALSE)</f>
        <v>#N/A</v>
      </c>
      <c r="H265" s="1" t="e">
        <f>VLOOKUP(AC265,[1]PaymentModel_ID!$A$2:$B$7,2,FALSE)</f>
        <v>#N/A</v>
      </c>
      <c r="I265" s="1" t="e">
        <f>VLOOKUP(W265,[1]ExpectedInvoiceDate_ID!$A$2:$B$12,2,FALSE)</f>
        <v>#N/A</v>
      </c>
      <c r="J265" s="1" t="e">
        <f>VLOOKUP(X265,[1]GrantOfRights_ID!$A$2:$B$7,2,FALSE)</f>
        <v>#N/A</v>
      </c>
      <c r="K265" s="1" t="str">
        <f>VLOOKUP(AE265,[1]Profile!$A$2:$B$8,2,FALSE)</f>
        <v>Qualification Package</v>
      </c>
      <c r="M265" s="1" t="str">
        <f>VLOOKUP(Y265,[1]License_Method_ID!$A$2:$B$13,2,FALSE)</f>
        <v>no technical license protection</v>
      </c>
      <c r="N265" s="1" t="s">
        <v>88</v>
      </c>
      <c r="O265" s="1">
        <v>10</v>
      </c>
      <c r="Q265" s="1" t="str">
        <f>VLOOKUP(AB265,[1]Operational_Profit_Type_ID!$A$2:$B$3,2,FALSE)</f>
        <v>Calculated</v>
      </c>
      <c r="R265" s="1" t="s">
        <v>55</v>
      </c>
      <c r="T265" s="1" t="str">
        <f>VLOOKUP(AD265,[1]UpdateRightID!$A$2:$B$4,2,FALSE)</f>
        <v>none</v>
      </c>
      <c r="U265" s="1" t="s">
        <v>48</v>
      </c>
      <c r="Y265" s="1">
        <v>0</v>
      </c>
      <c r="AB265" s="1">
        <v>2</v>
      </c>
      <c r="AD265" s="1">
        <v>0</v>
      </c>
      <c r="AE265" s="1">
        <v>3</v>
      </c>
    </row>
    <row r="266" spans="1:31" ht="135">
      <c r="B266" s="1" t="s">
        <v>727</v>
      </c>
      <c r="C266" t="s">
        <v>728</v>
      </c>
      <c r="D266" s="1" t="s">
        <v>729</v>
      </c>
      <c r="E266" s="1" t="e">
        <f>VLOOKUP(Z266,[1]LicenseDuration_ID!$A$2:$B$8,2,FALSE)</f>
        <v>#N/A</v>
      </c>
      <c r="F266" s="1" t="e">
        <f>VLOOKUP(AA266,[1]MaintenanceDuration_ID!$A$2:$B$5,2,FALSE)</f>
        <v>#N/A</v>
      </c>
      <c r="G266" s="1" t="e">
        <f>VLOOKUP(V266,[1]ExpectedDeliveryTime_ID!$A$2:$B$12,2,FALSE)</f>
        <v>#N/A</v>
      </c>
      <c r="H266" s="1" t="e">
        <f>VLOOKUP(AC266,[1]PaymentModel_ID!$A$2:$B$7,2,FALSE)</f>
        <v>#N/A</v>
      </c>
      <c r="I266" s="1" t="e">
        <f>VLOOKUP(W266,[1]ExpectedInvoiceDate_ID!$A$2:$B$12,2,FALSE)</f>
        <v>#N/A</v>
      </c>
      <c r="J266" s="1" t="e">
        <f>VLOOKUP(X266,[1]GrantOfRights_ID!$A$2:$B$7,2,FALSE)</f>
        <v>#N/A</v>
      </c>
      <c r="K266" s="1" t="str">
        <f>VLOOKUP(AE266,[1]Profile!$A$2:$B$8,2,FALSE)</f>
        <v>License</v>
      </c>
      <c r="M266" s="1" t="str">
        <f>VLOOKUP(Y266,[1]License_Method_ID!$A$2:$B$13,2,FALSE)</f>
        <v>no technical license protection</v>
      </c>
      <c r="O266" s="1">
        <v>10</v>
      </c>
      <c r="P266" s="1">
        <v>50</v>
      </c>
      <c r="Q266" s="1" t="str">
        <f>VLOOKUP(AB266,[1]Operational_Profit_Type_ID!$A$2:$B$3,2,FALSE)</f>
        <v>Fix rate</v>
      </c>
      <c r="R266" s="1" t="s">
        <v>55</v>
      </c>
      <c r="T266" s="1" t="str">
        <f>VLOOKUP(AD266,[1]UpdateRightID!$A$2:$B$4,2,FALSE)</f>
        <v>none</v>
      </c>
      <c r="U266" s="1" t="s">
        <v>48</v>
      </c>
      <c r="Y266" s="1">
        <v>0</v>
      </c>
      <c r="AB266" s="1">
        <v>1</v>
      </c>
      <c r="AD266" s="1">
        <v>0</v>
      </c>
      <c r="AE266" s="1">
        <v>1</v>
      </c>
    </row>
    <row r="267" spans="1:31" ht="150">
      <c r="B267" s="1" t="s">
        <v>730</v>
      </c>
      <c r="C267" t="s">
        <v>731</v>
      </c>
      <c r="D267" s="1" t="s">
        <v>272</v>
      </c>
      <c r="E267" s="1" t="e">
        <f>VLOOKUP(Z267,[1]LicenseDuration_ID!$A$2:$B$8,2,FALSE)</f>
        <v>#N/A</v>
      </c>
      <c r="F267" s="1" t="e">
        <f>VLOOKUP(AA267,[1]MaintenanceDuration_ID!$A$2:$B$5,2,FALSE)</f>
        <v>#N/A</v>
      </c>
      <c r="G267" s="1" t="e">
        <f>VLOOKUP(V267,[1]ExpectedDeliveryTime_ID!$A$2:$B$12,2,FALSE)</f>
        <v>#N/A</v>
      </c>
      <c r="H267" s="1" t="e">
        <f>VLOOKUP(AC267,[1]PaymentModel_ID!$A$2:$B$7,2,FALSE)</f>
        <v>#N/A</v>
      </c>
      <c r="I267" s="1" t="e">
        <f>VLOOKUP(W267,[1]ExpectedInvoiceDate_ID!$A$2:$B$12,2,FALSE)</f>
        <v>#N/A</v>
      </c>
      <c r="J267" s="1" t="e">
        <f>VLOOKUP(X267,[1]GrantOfRights_ID!$A$2:$B$7,2,FALSE)</f>
        <v>#N/A</v>
      </c>
      <c r="K267" s="1" t="str">
        <f>VLOOKUP(AE267,[1]Profile!$A$2:$B$8,2,FALSE)</f>
        <v>License</v>
      </c>
      <c r="M267" s="1" t="str">
        <f>VLOOKUP(Y267,[1]License_Method_ID!$A$2:$B$13,2,FALSE)</f>
        <v>FlexNet Publisher Server Activation Code</v>
      </c>
      <c r="N267" s="1" t="s">
        <v>47</v>
      </c>
      <c r="O267" s="1">
        <v>10</v>
      </c>
      <c r="Q267" s="1" t="str">
        <f>VLOOKUP(AB267,[1]Operational_Profit_Type_ID!$A$2:$B$3,2,FALSE)</f>
        <v>Calculated</v>
      </c>
      <c r="R267" s="1" t="s">
        <v>48</v>
      </c>
      <c r="S267" s="1">
        <v>10</v>
      </c>
      <c r="T267" s="1" t="str">
        <f>VLOOKUP(AD267,[1]UpdateRightID!$A$2:$B$4,2,FALSE)</f>
        <v>TotalAmountAsUpdateRight</v>
      </c>
      <c r="U267" s="1" t="s">
        <v>48</v>
      </c>
      <c r="Y267" s="1">
        <v>2</v>
      </c>
      <c r="AB267" s="1">
        <v>2</v>
      </c>
      <c r="AD267" s="1">
        <v>2</v>
      </c>
      <c r="AE267" s="1">
        <v>1</v>
      </c>
    </row>
    <row r="268" spans="1:31" ht="120">
      <c r="B268" s="1" t="s">
        <v>732</v>
      </c>
      <c r="C268" t="s">
        <v>733</v>
      </c>
      <c r="D268" s="1" t="s">
        <v>734</v>
      </c>
      <c r="E268" s="1" t="e">
        <f>VLOOKUP(Z268,[1]LicenseDuration_ID!$A$2:$B$8,2,FALSE)</f>
        <v>#N/A</v>
      </c>
      <c r="F268" s="1" t="e">
        <f>VLOOKUP(AA268,[1]MaintenanceDuration_ID!$A$2:$B$5,2,FALSE)</f>
        <v>#N/A</v>
      </c>
      <c r="G268" s="1" t="e">
        <f>VLOOKUP(V268,[1]ExpectedDeliveryTime_ID!$A$2:$B$12,2,FALSE)</f>
        <v>#N/A</v>
      </c>
      <c r="H268" s="1" t="e">
        <f>VLOOKUP(AC268,[1]PaymentModel_ID!$A$2:$B$7,2,FALSE)</f>
        <v>#N/A</v>
      </c>
      <c r="I268" s="1" t="e">
        <f>VLOOKUP(W268,[1]ExpectedInvoiceDate_ID!$A$2:$B$12,2,FALSE)</f>
        <v>#N/A</v>
      </c>
      <c r="J268" s="1" t="e">
        <f>VLOOKUP(X268,[1]GrantOfRights_ID!$A$2:$B$7,2,FALSE)</f>
        <v>#N/A</v>
      </c>
      <c r="K268" s="1" t="str">
        <f>VLOOKUP(AE268,[1]Profile!$A$2:$B$8,2,FALSE)</f>
        <v>License</v>
      </c>
      <c r="M268" s="1" t="str">
        <f>VLOOKUP(Y268,[1]License_Method_ID!$A$2:$B$13,2,FALSE)</f>
        <v>FlexNet Publisher Server Activation Code</v>
      </c>
      <c r="N268" s="1" t="s">
        <v>47</v>
      </c>
      <c r="O268" s="1">
        <v>10</v>
      </c>
      <c r="Q268" s="1" t="str">
        <f>VLOOKUP(AB268,[1]Operational_Profit_Type_ID!$A$2:$B$3,2,FALSE)</f>
        <v>Calculated</v>
      </c>
      <c r="R268" s="1" t="s">
        <v>48</v>
      </c>
      <c r="T268" s="1" t="str">
        <f>VLOOKUP(AD268,[1]UpdateRightID!$A$2:$B$4,2,FALSE)</f>
        <v>TotalAmountAsUpdateRight</v>
      </c>
      <c r="U268" s="1" t="s">
        <v>48</v>
      </c>
      <c r="Y268" s="1">
        <v>2</v>
      </c>
      <c r="AB268" s="1">
        <v>2</v>
      </c>
      <c r="AD268" s="1">
        <v>2</v>
      </c>
      <c r="AE268" s="1">
        <v>1</v>
      </c>
    </row>
    <row r="269" spans="1:31" ht="150">
      <c r="B269" s="1" t="s">
        <v>735</v>
      </c>
      <c r="C269" t="s">
        <v>736</v>
      </c>
      <c r="D269" s="1" t="s">
        <v>737</v>
      </c>
      <c r="E269" s="1" t="e">
        <f>VLOOKUP(Z269,[1]LicenseDuration_ID!$A$2:$B$8,2,FALSE)</f>
        <v>#N/A</v>
      </c>
      <c r="F269" s="1" t="e">
        <f>VLOOKUP(AA269,[1]MaintenanceDuration_ID!$A$2:$B$5,2,FALSE)</f>
        <v>#N/A</v>
      </c>
      <c r="G269" s="1" t="e">
        <f>VLOOKUP(V269,[1]ExpectedDeliveryTime_ID!$A$2:$B$12,2,FALSE)</f>
        <v>#N/A</v>
      </c>
      <c r="H269" s="1" t="e">
        <f>VLOOKUP(AC269,[1]PaymentModel_ID!$A$2:$B$7,2,FALSE)</f>
        <v>#N/A</v>
      </c>
      <c r="I269" s="1" t="e">
        <f>VLOOKUP(W269,[1]ExpectedInvoiceDate_ID!$A$2:$B$12,2,FALSE)</f>
        <v>#N/A</v>
      </c>
      <c r="J269" s="1" t="e">
        <f>VLOOKUP(X269,[1]GrantOfRights_ID!$A$2:$B$7,2,FALSE)</f>
        <v>#N/A</v>
      </c>
      <c r="K269" s="1" t="str">
        <f>VLOOKUP(AE269,[1]Profile!$A$2:$B$8,2,FALSE)</f>
        <v>License</v>
      </c>
      <c r="M269" s="1" t="str">
        <f>VLOOKUP(Y269,[1]License_Method_ID!$A$2:$B$13,2,FALSE)</f>
        <v>ADTF Node-Locked License File</v>
      </c>
      <c r="N269" s="1" t="s">
        <v>47</v>
      </c>
      <c r="O269" s="1">
        <v>10</v>
      </c>
      <c r="Q269" s="1" t="str">
        <f>VLOOKUP(AB269,[1]Operational_Profit_Type_ID!$A$2:$B$3,2,FALSE)</f>
        <v>Calculated</v>
      </c>
      <c r="R269" s="1" t="s">
        <v>48</v>
      </c>
      <c r="T269" s="1" t="str">
        <f>VLOOKUP(AD269,[1]UpdateRightID!$A$2:$B$4,2,FALSE)</f>
        <v>UpdateRightByConfiguration</v>
      </c>
      <c r="U269" s="1" t="s">
        <v>48</v>
      </c>
      <c r="Y269" s="1">
        <v>7</v>
      </c>
      <c r="AB269" s="1">
        <v>2</v>
      </c>
      <c r="AD269" s="1">
        <v>1</v>
      </c>
      <c r="AE269" s="1">
        <v>1</v>
      </c>
    </row>
    <row r="270" spans="1:31" ht="120">
      <c r="B270" s="1" t="s">
        <v>738</v>
      </c>
      <c r="C270" t="s">
        <v>739</v>
      </c>
      <c r="D270" s="1" t="s">
        <v>734</v>
      </c>
      <c r="E270" s="1" t="e">
        <f>VLOOKUP(Z270,[1]LicenseDuration_ID!$A$2:$B$8,2,FALSE)</f>
        <v>#N/A</v>
      </c>
      <c r="F270" s="1" t="e">
        <f>VLOOKUP(AA270,[1]MaintenanceDuration_ID!$A$2:$B$5,2,FALSE)</f>
        <v>#N/A</v>
      </c>
      <c r="G270" s="1" t="e">
        <f>VLOOKUP(V270,[1]ExpectedDeliveryTime_ID!$A$2:$B$12,2,FALSE)</f>
        <v>#N/A</v>
      </c>
      <c r="H270" s="1" t="e">
        <f>VLOOKUP(AC270,[1]PaymentModel_ID!$A$2:$B$7,2,FALSE)</f>
        <v>#N/A</v>
      </c>
      <c r="I270" s="1" t="e">
        <f>VLOOKUP(W270,[1]ExpectedInvoiceDate_ID!$A$2:$B$12,2,FALSE)</f>
        <v>#N/A</v>
      </c>
      <c r="J270" s="1" t="e">
        <f>VLOOKUP(X270,[1]GrantOfRights_ID!$A$2:$B$7,2,FALSE)</f>
        <v>#N/A</v>
      </c>
      <c r="K270" s="1" t="str">
        <f>VLOOKUP(AE270,[1]Profile!$A$2:$B$8,2,FALSE)</f>
        <v>License</v>
      </c>
      <c r="M270" s="1" t="str">
        <f>VLOOKUP(Y270,[1]License_Method_ID!$A$2:$B$13,2,FALSE)</f>
        <v>ADTF Node-Locked License File</v>
      </c>
      <c r="N270" s="1" t="s">
        <v>47</v>
      </c>
      <c r="O270" s="1">
        <v>10</v>
      </c>
      <c r="Q270" s="1" t="str">
        <f>VLOOKUP(AB270,[1]Operational_Profit_Type_ID!$A$2:$B$3,2,FALSE)</f>
        <v>Calculated</v>
      </c>
      <c r="R270" s="1" t="s">
        <v>48</v>
      </c>
      <c r="T270" s="1" t="str">
        <f>VLOOKUP(AD270,[1]UpdateRightID!$A$2:$B$4,2,FALSE)</f>
        <v>TotalAmountAsUpdateRight</v>
      </c>
      <c r="U270" s="1" t="s">
        <v>48</v>
      </c>
      <c r="Y270" s="1">
        <v>7</v>
      </c>
      <c r="AB270" s="1">
        <v>2</v>
      </c>
      <c r="AD270" s="1">
        <v>2</v>
      </c>
      <c r="AE270" s="1">
        <v>1</v>
      </c>
    </row>
    <row r="271" spans="1:31" ht="75">
      <c r="B271" s="1" t="s">
        <v>740</v>
      </c>
      <c r="C271" t="s">
        <v>741</v>
      </c>
      <c r="E271" s="1" t="e">
        <f>VLOOKUP(Z271,[1]LicenseDuration_ID!$A$2:$B$8,2,FALSE)</f>
        <v>#N/A</v>
      </c>
      <c r="F271" s="1" t="e">
        <f>VLOOKUP(AA271,[1]MaintenanceDuration_ID!$A$2:$B$5,2,FALSE)</f>
        <v>#N/A</v>
      </c>
      <c r="G271" s="1" t="e">
        <f>VLOOKUP(V271,[1]ExpectedDeliveryTime_ID!$A$2:$B$12,2,FALSE)</f>
        <v>#N/A</v>
      </c>
      <c r="H271" s="1" t="e">
        <f>VLOOKUP(AC271,[1]PaymentModel_ID!$A$2:$B$7,2,FALSE)</f>
        <v>#N/A</v>
      </c>
      <c r="I271" s="1" t="e">
        <f>VLOOKUP(W271,[1]ExpectedInvoiceDate_ID!$A$2:$B$12,2,FALSE)</f>
        <v>#N/A</v>
      </c>
      <c r="J271" s="1" t="e">
        <f>VLOOKUP(X271,[1]GrantOfRights_ID!$A$2:$B$7,2,FALSE)</f>
        <v>#N/A</v>
      </c>
      <c r="K271" s="1" t="str">
        <f>VLOOKUP(AE271,[1]Profile!$A$2:$B$8,2,FALSE)</f>
        <v>Product related service without profile</v>
      </c>
      <c r="M271" s="1" t="str">
        <f>VLOOKUP(Y271,[1]License_Method_ID!$A$2:$B$13,2,FALSE)</f>
        <v>no technical license protection</v>
      </c>
      <c r="O271" s="1">
        <v>10</v>
      </c>
      <c r="Q271" s="1" t="str">
        <f>VLOOKUP(AB271,[1]Operational_Profit_Type_ID!$A$2:$B$3,2,FALSE)</f>
        <v>Calculated</v>
      </c>
      <c r="R271" s="1" t="s">
        <v>55</v>
      </c>
      <c r="T271" s="1" t="str">
        <f>VLOOKUP(AD271,[1]UpdateRightID!$A$2:$B$4,2,FALSE)</f>
        <v>none</v>
      </c>
      <c r="U271" s="1" t="s">
        <v>48</v>
      </c>
      <c r="Y271" s="1">
        <v>0</v>
      </c>
      <c r="AB271" s="1">
        <v>2</v>
      </c>
      <c r="AD271" s="1">
        <v>0</v>
      </c>
      <c r="AE271" s="1">
        <v>0</v>
      </c>
    </row>
    <row r="272" spans="1:31" ht="30">
      <c r="B272" s="1" t="s">
        <v>742</v>
      </c>
      <c r="C272" t="s">
        <v>743</v>
      </c>
      <c r="D272" s="1" t="s">
        <v>744</v>
      </c>
      <c r="E272" s="1" t="e">
        <f>VLOOKUP(Z272,[1]LicenseDuration_ID!$A$2:$B$8,2,FALSE)</f>
        <v>#N/A</v>
      </c>
      <c r="F272" s="1" t="e">
        <f>VLOOKUP(AA272,[1]MaintenanceDuration_ID!$A$2:$B$5,2,FALSE)</f>
        <v>#N/A</v>
      </c>
      <c r="G272" s="1" t="e">
        <f>VLOOKUP(V272,[1]ExpectedDeliveryTime_ID!$A$2:$B$12,2,FALSE)</f>
        <v>#N/A</v>
      </c>
      <c r="H272" s="1" t="e">
        <f>VLOOKUP(AC272,[1]PaymentModel_ID!$A$2:$B$7,2,FALSE)</f>
        <v>#N/A</v>
      </c>
      <c r="I272" s="1" t="e">
        <f>VLOOKUP(W272,[1]ExpectedInvoiceDate_ID!$A$2:$B$12,2,FALSE)</f>
        <v>#N/A</v>
      </c>
      <c r="J272" s="1" t="e">
        <f>VLOOKUP(X272,[1]GrantOfRights_ID!$A$2:$B$7,2,FALSE)</f>
        <v>#N/A</v>
      </c>
      <c r="K272" s="1" t="str">
        <f>VLOOKUP(AE272,[1]Profile!$A$2:$B$8,2,FALSE)</f>
        <v>Qualification Package</v>
      </c>
      <c r="M272" s="1" t="str">
        <f>VLOOKUP(Y272,[1]License_Method_ID!$A$2:$B$13,2,FALSE)</f>
        <v>no technical license protection</v>
      </c>
      <c r="O272" s="1">
        <v>10</v>
      </c>
      <c r="P272" s="1">
        <v>50</v>
      </c>
      <c r="Q272" s="1" t="str">
        <f>VLOOKUP(AB272,[1]Operational_Profit_Type_ID!$A$2:$B$3,2,FALSE)</f>
        <v>Fix rate</v>
      </c>
      <c r="R272" s="1" t="s">
        <v>55</v>
      </c>
      <c r="T272" s="1" t="str">
        <f>VLOOKUP(AD272,[1]UpdateRightID!$A$2:$B$4,2,FALSE)</f>
        <v>none</v>
      </c>
      <c r="U272" s="1" t="s">
        <v>48</v>
      </c>
      <c r="Y272" s="1">
        <v>0</v>
      </c>
      <c r="AB272" s="1">
        <v>1</v>
      </c>
      <c r="AD272" s="1">
        <v>0</v>
      </c>
      <c r="AE272" s="1">
        <v>3</v>
      </c>
    </row>
    <row r="273" spans="1:31" ht="75">
      <c r="B273" s="1" t="s">
        <v>745</v>
      </c>
      <c r="C273" t="s">
        <v>746</v>
      </c>
      <c r="D273" s="1" t="s">
        <v>747</v>
      </c>
      <c r="E273" s="1" t="e">
        <f>VLOOKUP(Z273,[1]LicenseDuration_ID!$A$2:$B$8,2,FALSE)</f>
        <v>#N/A</v>
      </c>
      <c r="F273" s="1" t="e">
        <f>VLOOKUP(AA273,[1]MaintenanceDuration_ID!$A$2:$B$5,2,FALSE)</f>
        <v>#N/A</v>
      </c>
      <c r="G273" s="1" t="e">
        <f>VLOOKUP(V273,[1]ExpectedDeliveryTime_ID!$A$2:$B$12,2,FALSE)</f>
        <v>#N/A</v>
      </c>
      <c r="H273" s="1" t="e">
        <f>VLOOKUP(AC273,[1]PaymentModel_ID!$A$2:$B$7,2,FALSE)</f>
        <v>#N/A</v>
      </c>
      <c r="I273" s="1" t="e">
        <f>VLOOKUP(W273,[1]ExpectedInvoiceDate_ID!$A$2:$B$12,2,FALSE)</f>
        <v>#N/A</v>
      </c>
      <c r="J273" s="1" t="e">
        <f>VLOOKUP(X273,[1]GrantOfRights_ID!$A$2:$B$7,2,FALSE)</f>
        <v>#N/A</v>
      </c>
      <c r="K273" s="1" t="str">
        <f>VLOOKUP(AE273,[1]Profile!$A$2:$B$8,2,FALSE)</f>
        <v>License</v>
      </c>
      <c r="M273" s="1" t="str">
        <f>VLOOKUP(Y273,[1]License_Method_ID!$A$2:$B$13,2,FALSE)</f>
        <v>no technical license protection</v>
      </c>
      <c r="N273" s="1" t="s">
        <v>47</v>
      </c>
      <c r="O273" s="1">
        <v>10</v>
      </c>
      <c r="P273" s="1">
        <v>50</v>
      </c>
      <c r="Q273" s="1" t="str">
        <f>VLOOKUP(AB273,[1]Operational_Profit_Type_ID!$A$2:$B$3,2,FALSE)</f>
        <v>Fix rate</v>
      </c>
      <c r="R273" s="1" t="s">
        <v>55</v>
      </c>
      <c r="T273" s="1" t="str">
        <f>VLOOKUP(AD273,[1]UpdateRightID!$A$2:$B$4,2,FALSE)</f>
        <v>none</v>
      </c>
      <c r="U273" s="1" t="s">
        <v>48</v>
      </c>
      <c r="Y273" s="1">
        <v>0</v>
      </c>
      <c r="AB273" s="1">
        <v>1</v>
      </c>
      <c r="AD273" s="1">
        <v>0</v>
      </c>
      <c r="AE273" s="1">
        <v>1</v>
      </c>
    </row>
    <row r="274" spans="1:31">
      <c r="B274" s="1" t="s">
        <v>748</v>
      </c>
      <c r="C274" t="s">
        <v>749</v>
      </c>
      <c r="D274" s="1" t="s">
        <v>750</v>
      </c>
      <c r="E274" s="1" t="e">
        <f>VLOOKUP(Z274,[1]LicenseDuration_ID!$A$2:$B$8,2,FALSE)</f>
        <v>#N/A</v>
      </c>
      <c r="F274" s="1" t="e">
        <f>VLOOKUP(AA274,[1]MaintenanceDuration_ID!$A$2:$B$5,2,FALSE)</f>
        <v>#N/A</v>
      </c>
      <c r="G274" s="1" t="e">
        <f>VLOOKUP(V274,[1]ExpectedDeliveryTime_ID!$A$2:$B$12,2,FALSE)</f>
        <v>#N/A</v>
      </c>
      <c r="H274" s="1" t="e">
        <f>VLOOKUP(AC274,[1]PaymentModel_ID!$A$2:$B$7,2,FALSE)</f>
        <v>#N/A</v>
      </c>
      <c r="I274" s="1" t="e">
        <f>VLOOKUP(W274,[1]ExpectedInvoiceDate_ID!$A$2:$B$12,2,FALSE)</f>
        <v>#N/A</v>
      </c>
      <c r="J274" s="1" t="e">
        <f>VLOOKUP(X274,[1]GrantOfRights_ID!$A$2:$B$7,2,FALSE)</f>
        <v>#N/A</v>
      </c>
      <c r="K274" s="1" t="str">
        <f>VLOOKUP(AE274,[1]Profile!$A$2:$B$8,2,FALSE)</f>
        <v>License</v>
      </c>
      <c r="M274" s="1" t="str">
        <f>VLOOKUP(Y274,[1]License_Method_ID!$A$2:$B$13,2,FALSE)</f>
        <v>no technical license protection</v>
      </c>
      <c r="N274" s="1" t="s">
        <v>47</v>
      </c>
      <c r="O274" s="1">
        <v>10</v>
      </c>
      <c r="P274" s="1">
        <v>50</v>
      </c>
      <c r="Q274" s="1" t="str">
        <f>VLOOKUP(AB274,[1]Operational_Profit_Type_ID!$A$2:$B$3,2,FALSE)</f>
        <v>Fix rate</v>
      </c>
      <c r="R274" s="1" t="s">
        <v>48</v>
      </c>
      <c r="S274" s="1">
        <v>0</v>
      </c>
      <c r="T274" s="1" t="str">
        <f>VLOOKUP(AD274,[1]UpdateRightID!$A$2:$B$4,2,FALSE)</f>
        <v>none</v>
      </c>
      <c r="U274" s="1" t="s">
        <v>48</v>
      </c>
      <c r="Y274" s="1">
        <v>0</v>
      </c>
      <c r="AB274" s="1">
        <v>1</v>
      </c>
      <c r="AD274" s="1">
        <v>0</v>
      </c>
      <c r="AE274" s="1">
        <v>1</v>
      </c>
    </row>
    <row r="275" spans="1:31" ht="75">
      <c r="A275" s="1" t="s">
        <v>43</v>
      </c>
      <c r="B275" s="1" t="s">
        <v>751</v>
      </c>
      <c r="C275" t="s">
        <v>752</v>
      </c>
      <c r="D275" s="1" t="s">
        <v>753</v>
      </c>
      <c r="E275" s="1" t="str">
        <f>VLOOKUP(Z275,[1]LicenseDuration_ID!$A$2:$B$8,2,FALSE)</f>
        <v>n/a</v>
      </c>
      <c r="F275" s="1" t="str">
        <f>VLOOKUP(AA275,[1]MaintenanceDuration_ID!$A$2:$B$5,2,FALSE)</f>
        <v>n/a</v>
      </c>
      <c r="G275" s="1" t="str">
        <f>VLOOKUP(V275,[1]ExpectedDeliveryTime_ID!$A$2:$B$12,2,FALSE)</f>
        <v>In mutual alignment with the project</v>
      </c>
      <c r="H275" s="1" t="str">
        <f>VLOOKUP(AC275,[1]PaymentModel_ID!$A$2:$B$7,2,FALSE)</f>
        <v>One-time payment</v>
      </c>
      <c r="I275" s="1" t="str">
        <f>VLOOKUP(W275,[1]ExpectedInvoiceDate_ID!$A$2:$B$12,2,FALSE)</f>
        <v>With FINAL DELIVERY</v>
      </c>
      <c r="J275" s="1" t="str">
        <f>VLOOKUP(X275,[1]GrantOfRights_ID!$A$2:$B$7,2,FALSE)</f>
        <v>Reproduction and Distribution License</v>
      </c>
      <c r="K275" s="1" t="str">
        <f>VLOOKUP(AE275,[1]Profile!$A$2:$B$8,2,FALSE)</f>
        <v>License</v>
      </c>
      <c r="M275" s="1" t="str">
        <f>VLOOKUP(Y275,[1]License_Method_ID!$A$2:$B$13,2,FALSE)</f>
        <v>no technical license protection</v>
      </c>
      <c r="N275" s="1" t="s">
        <v>88</v>
      </c>
      <c r="O275" s="1">
        <v>10</v>
      </c>
      <c r="Q275" s="1" t="str">
        <f>VLOOKUP(AB275,[1]Operational_Profit_Type_ID!$A$2:$B$3,2,FALSE)</f>
        <v>Calculated</v>
      </c>
      <c r="R275" s="1" t="s">
        <v>55</v>
      </c>
      <c r="T275" s="1" t="str">
        <f>VLOOKUP(AD275,[1]UpdateRightID!$A$2:$B$4,2,FALSE)</f>
        <v>none</v>
      </c>
      <c r="U275" s="1" t="s">
        <v>48</v>
      </c>
      <c r="V275" s="1">
        <v>18</v>
      </c>
      <c r="W275" s="1">
        <v>7</v>
      </c>
      <c r="X275" s="1">
        <v>5</v>
      </c>
      <c r="Y275" s="1">
        <v>0</v>
      </c>
      <c r="Z275" s="1">
        <v>1</v>
      </c>
      <c r="AA275" s="1">
        <v>1</v>
      </c>
      <c r="AB275" s="1">
        <v>2</v>
      </c>
      <c r="AC275" s="1">
        <v>2</v>
      </c>
      <c r="AD275" s="1">
        <v>0</v>
      </c>
      <c r="AE275" s="1">
        <v>1</v>
      </c>
    </row>
    <row r="276" spans="1:31" ht="405">
      <c r="B276" s="1" t="s">
        <v>754</v>
      </c>
      <c r="C276" t="s">
        <v>755</v>
      </c>
      <c r="D276" s="1" t="s">
        <v>756</v>
      </c>
      <c r="E276" s="1" t="e">
        <f>VLOOKUP(Z276,[1]LicenseDuration_ID!$A$2:$B$8,2,FALSE)</f>
        <v>#N/A</v>
      </c>
      <c r="F276" s="1" t="e">
        <f>VLOOKUP(AA276,[1]MaintenanceDuration_ID!$A$2:$B$5,2,FALSE)</f>
        <v>#N/A</v>
      </c>
      <c r="G276" s="1" t="e">
        <f>VLOOKUP(V276,[1]ExpectedDeliveryTime_ID!$A$2:$B$12,2,FALSE)</f>
        <v>#N/A</v>
      </c>
      <c r="H276" s="1" t="e">
        <f>VLOOKUP(AC276,[1]PaymentModel_ID!$A$2:$B$7,2,FALSE)</f>
        <v>#N/A</v>
      </c>
      <c r="I276" s="1" t="e">
        <f>VLOOKUP(W276,[1]ExpectedInvoiceDate_ID!$A$2:$B$12,2,FALSE)</f>
        <v>#N/A</v>
      </c>
      <c r="J276" s="1" t="e">
        <f>VLOOKUP(X276,[1]GrantOfRights_ID!$A$2:$B$7,2,FALSE)</f>
        <v>#N/A</v>
      </c>
      <c r="K276" s="1" t="str">
        <f>VLOOKUP(AE276,[1]Profile!$A$2:$B$8,2,FALSE)</f>
        <v>License</v>
      </c>
      <c r="M276" s="1" t="str">
        <f>VLOOKUP(Y276,[1]License_Method_ID!$A$2:$B$13,2,FALSE)</f>
        <v>no technical license protection</v>
      </c>
      <c r="N276" s="1" t="s">
        <v>47</v>
      </c>
      <c r="O276" s="1">
        <v>10</v>
      </c>
      <c r="P276" s="1">
        <v>50</v>
      </c>
      <c r="Q276" s="1" t="str">
        <f>VLOOKUP(AB276,[1]Operational_Profit_Type_ID!$A$2:$B$3,2,FALSE)</f>
        <v>Fix rate</v>
      </c>
      <c r="R276" s="1" t="s">
        <v>48</v>
      </c>
      <c r="T276" s="1" t="str">
        <f>VLOOKUP(AD276,[1]UpdateRightID!$A$2:$B$4,2,FALSE)</f>
        <v>none</v>
      </c>
      <c r="U276" s="1" t="s">
        <v>48</v>
      </c>
      <c r="Y276" s="1">
        <v>0</v>
      </c>
      <c r="AB276" s="1">
        <v>1</v>
      </c>
      <c r="AD276" s="1">
        <v>0</v>
      </c>
      <c r="AE276" s="1">
        <v>1</v>
      </c>
    </row>
    <row r="277" spans="1:31" ht="210">
      <c r="B277" s="1" t="s">
        <v>757</v>
      </c>
      <c r="C277" t="s">
        <v>758</v>
      </c>
      <c r="D277" s="1" t="s">
        <v>759</v>
      </c>
      <c r="E277" s="1" t="e">
        <f>VLOOKUP(Z277,[1]LicenseDuration_ID!$A$2:$B$8,2,FALSE)</f>
        <v>#N/A</v>
      </c>
      <c r="F277" s="1" t="e">
        <f>VLOOKUP(AA277,[1]MaintenanceDuration_ID!$A$2:$B$5,2,FALSE)</f>
        <v>#N/A</v>
      </c>
      <c r="G277" s="1" t="e">
        <f>VLOOKUP(V277,[1]ExpectedDeliveryTime_ID!$A$2:$B$12,2,FALSE)</f>
        <v>#N/A</v>
      </c>
      <c r="H277" s="1" t="e">
        <f>VLOOKUP(AC277,[1]PaymentModel_ID!$A$2:$B$7,2,FALSE)</f>
        <v>#N/A</v>
      </c>
      <c r="I277" s="1" t="e">
        <f>VLOOKUP(W277,[1]ExpectedInvoiceDate_ID!$A$2:$B$12,2,FALSE)</f>
        <v>#N/A</v>
      </c>
      <c r="J277" s="1" t="e">
        <f>VLOOKUP(X277,[1]GrantOfRights_ID!$A$2:$B$7,2,FALSE)</f>
        <v>#N/A</v>
      </c>
      <c r="K277" s="1" t="str">
        <f>VLOOKUP(AE277,[1]Profile!$A$2:$B$8,2,FALSE)</f>
        <v>License</v>
      </c>
      <c r="M277" s="1" t="str">
        <f>VLOOKUP(Y277,[1]License_Method_ID!$A$2:$B$13,2,FALSE)</f>
        <v>no technical license protection</v>
      </c>
      <c r="N277" s="1" t="s">
        <v>47</v>
      </c>
      <c r="O277" s="1">
        <v>10</v>
      </c>
      <c r="P277" s="1">
        <v>50</v>
      </c>
      <c r="Q277" s="1" t="str">
        <f>VLOOKUP(AB277,[1]Operational_Profit_Type_ID!$A$2:$B$3,2,FALSE)</f>
        <v>Fix rate</v>
      </c>
      <c r="R277" s="1" t="s">
        <v>48</v>
      </c>
      <c r="T277" s="1" t="str">
        <f>VLOOKUP(AD277,[1]UpdateRightID!$A$2:$B$4,2,FALSE)</f>
        <v>none</v>
      </c>
      <c r="U277" s="1" t="s">
        <v>48</v>
      </c>
      <c r="Y277" s="1">
        <v>0</v>
      </c>
      <c r="AB277" s="1">
        <v>1</v>
      </c>
      <c r="AD277" s="1">
        <v>0</v>
      </c>
      <c r="AE277" s="1">
        <v>1</v>
      </c>
    </row>
    <row r="278" spans="1:31">
      <c r="B278" s="1" t="s">
        <v>760</v>
      </c>
      <c r="C278" t="s">
        <v>761</v>
      </c>
      <c r="E278" s="1" t="e">
        <f>VLOOKUP(Z278,[1]LicenseDuration_ID!$A$2:$B$8,2,FALSE)</f>
        <v>#N/A</v>
      </c>
      <c r="F278" s="1" t="e">
        <f>VLOOKUP(AA278,[1]MaintenanceDuration_ID!$A$2:$B$5,2,FALSE)</f>
        <v>#N/A</v>
      </c>
      <c r="G278" s="1" t="e">
        <f>VLOOKUP(V278,[1]ExpectedDeliveryTime_ID!$A$2:$B$12,2,FALSE)</f>
        <v>#N/A</v>
      </c>
      <c r="H278" s="1" t="e">
        <f>VLOOKUP(AC278,[1]PaymentModel_ID!$A$2:$B$7,2,FALSE)</f>
        <v>#N/A</v>
      </c>
      <c r="I278" s="1" t="e">
        <f>VLOOKUP(W278,[1]ExpectedInvoiceDate_ID!$A$2:$B$12,2,FALSE)</f>
        <v>#N/A</v>
      </c>
      <c r="J278" s="1" t="e">
        <f>VLOOKUP(X278,[1]GrantOfRights_ID!$A$2:$B$7,2,FALSE)</f>
        <v>#N/A</v>
      </c>
      <c r="K278" s="1" t="str">
        <f>VLOOKUP(AE278,[1]Profile!$A$2:$B$8,2,FALSE)</f>
        <v>License</v>
      </c>
      <c r="M278" s="1" t="str">
        <f>VLOOKUP(Y278,[1]License_Method_ID!$A$2:$B$13,2,FALSE)</f>
        <v>no technical license protection</v>
      </c>
      <c r="O278" s="1">
        <v>10</v>
      </c>
      <c r="P278" s="1">
        <v>50</v>
      </c>
      <c r="Q278" s="1" t="str">
        <f>VLOOKUP(AB278,[1]Operational_Profit_Type_ID!$A$2:$B$3,2,FALSE)</f>
        <v>Fix rate</v>
      </c>
      <c r="R278" s="1" t="s">
        <v>55</v>
      </c>
      <c r="T278" s="1" t="str">
        <f>VLOOKUP(AD278,[1]UpdateRightID!$A$2:$B$4,2,FALSE)</f>
        <v>none</v>
      </c>
      <c r="U278" s="1" t="s">
        <v>48</v>
      </c>
      <c r="Y278" s="1">
        <v>0</v>
      </c>
      <c r="AB278" s="1">
        <v>1</v>
      </c>
      <c r="AD278" s="1">
        <v>0</v>
      </c>
      <c r="AE278" s="1">
        <v>1</v>
      </c>
    </row>
    <row r="279" spans="1:31" ht="60">
      <c r="A279" s="1" t="s">
        <v>43</v>
      </c>
      <c r="B279" s="1" t="s">
        <v>762</v>
      </c>
      <c r="C279" t="s">
        <v>763</v>
      </c>
      <c r="D279" s="1" t="s">
        <v>764</v>
      </c>
      <c r="E279" s="1" t="str">
        <f>VLOOKUP(Z279,[1]LicenseDuration_ID!$A$2:$B$8,2,FALSE)</f>
        <v>perpetual</v>
      </c>
      <c r="F279" s="1" t="str">
        <f>VLOOKUP(AA279,[1]MaintenanceDuration_ID!$A$2:$B$5,2,FALSE)</f>
        <v>12 months</v>
      </c>
      <c r="G279" s="1" t="str">
        <f>VLOOKUP(V279,[1]ExpectedDeliveryTime_ID!$A$2:$B$12,2,FALSE)</f>
        <v>FINALIZED PURCHASE PROCESS + 2 weeks</v>
      </c>
      <c r="H279" s="1" t="str">
        <f>VLOOKUP(AC279,[1]PaymentModel_ID!$A$2:$B$7,2,FALSE)</f>
        <v>One-time payment</v>
      </c>
      <c r="I279" s="1" t="str">
        <f>VLOOKUP(W279,[1]ExpectedInvoiceDate_ID!$A$2:$B$12,2,FALSE)</f>
        <v>With FINAL DELIVERY</v>
      </c>
      <c r="J279" s="1" t="str">
        <f>VLOOKUP(X279,[1]GrantOfRights_ID!$A$2:$B$7,2,FALSE)</f>
        <v>Elektrobit Tooling Licence</v>
      </c>
      <c r="K279" s="1" t="str">
        <f>VLOOKUP(AE279,[1]Profile!$A$2:$B$8,2,FALSE)</f>
        <v>License</v>
      </c>
      <c r="M279" s="1" t="str">
        <f>VLOOKUP(Y279,[1]License_Method_ID!$A$2:$B$13,2,FALSE)</f>
        <v>FlexNet Publisher Application Activation Code</v>
      </c>
      <c r="N279" s="1" t="s">
        <v>47</v>
      </c>
      <c r="O279" s="1">
        <v>10</v>
      </c>
      <c r="P279" s="1">
        <v>50</v>
      </c>
      <c r="Q279" s="1" t="str">
        <f>VLOOKUP(AB279,[1]Operational_Profit_Type_ID!$A$2:$B$3,2,FALSE)</f>
        <v>Fix rate</v>
      </c>
      <c r="R279" s="1" t="s">
        <v>48</v>
      </c>
      <c r="T279" s="1" t="str">
        <f>VLOOKUP(AD279,[1]UpdateRightID!$A$2:$B$4,2,FALSE)</f>
        <v>UpdateRightByConfiguration</v>
      </c>
      <c r="U279" s="1" t="s">
        <v>48</v>
      </c>
      <c r="V279" s="1">
        <v>2</v>
      </c>
      <c r="W279" s="1">
        <v>7</v>
      </c>
      <c r="X279" s="1">
        <v>2</v>
      </c>
      <c r="Y279" s="1">
        <v>1</v>
      </c>
      <c r="Z279" s="1">
        <v>6</v>
      </c>
      <c r="AA279" s="1">
        <v>3</v>
      </c>
      <c r="AB279" s="1">
        <v>1</v>
      </c>
      <c r="AC279" s="1">
        <v>2</v>
      </c>
      <c r="AD279" s="1">
        <v>1</v>
      </c>
      <c r="AE279" s="1">
        <v>1</v>
      </c>
    </row>
    <row r="280" spans="1:31" ht="90">
      <c r="A280" s="1" t="s">
        <v>43</v>
      </c>
      <c r="B280" s="1" t="s">
        <v>765</v>
      </c>
      <c r="C280" t="s">
        <v>766</v>
      </c>
      <c r="D280" s="1" t="s">
        <v>767</v>
      </c>
      <c r="E280" s="1" t="str">
        <f>VLOOKUP(Z280,[1]LicenseDuration_ID!$A$2:$B$8,2,FALSE)</f>
        <v>n/a</v>
      </c>
      <c r="F280" s="1" t="str">
        <f>VLOOKUP(AA280,[1]MaintenanceDuration_ID!$A$2:$B$5,2,FALSE)</f>
        <v>12 months</v>
      </c>
      <c r="G280" s="1" t="str">
        <f>VLOOKUP(V280,[1]ExpectedDeliveryTime_ID!$A$2:$B$12,2,FALSE)</f>
        <v>n/a</v>
      </c>
      <c r="H280" s="1" t="str">
        <f>VLOOKUP(AC280,[1]PaymentModel_ID!$A$2:$B$7,2,FALSE)</f>
        <v>Annual payment</v>
      </c>
      <c r="I280" s="1" t="str">
        <f>VLOOKUP(W280,[1]ExpectedInvoiceDate_ID!$A$2:$B$12,2,FALSE)</f>
        <v>Anually at the beginning of the extended period</v>
      </c>
      <c r="J280" s="1" t="str">
        <f>VLOOKUP(X280,[1]GrantOfRights_ID!$A$2:$B$7,2,FALSE)</f>
        <v>n/a</v>
      </c>
      <c r="K280" s="1" t="str">
        <f>VLOOKUP(AE280,[1]Profile!$A$2:$B$8,2,FALSE)</f>
        <v>License</v>
      </c>
      <c r="M280" s="1" t="str">
        <f>VLOOKUP(Y280,[1]License_Method_ID!$A$2:$B$13,2,FALSE)</f>
        <v>FlexNet Publisher Application Activation Code</v>
      </c>
      <c r="N280" s="1" t="s">
        <v>47</v>
      </c>
      <c r="O280" s="1">
        <v>10</v>
      </c>
      <c r="P280" s="1">
        <v>50</v>
      </c>
      <c r="Q280" s="1" t="str">
        <f>VLOOKUP(AB280,[1]Operational_Profit_Type_ID!$A$2:$B$3,2,FALSE)</f>
        <v>Fix rate</v>
      </c>
      <c r="R280" s="1" t="s">
        <v>55</v>
      </c>
      <c r="T280" s="1" t="str">
        <f>VLOOKUP(AD280,[1]UpdateRightID!$A$2:$B$4,2,FALSE)</f>
        <v>TotalAmountAsUpdateRight</v>
      </c>
      <c r="U280" s="1" t="s">
        <v>48</v>
      </c>
      <c r="V280" s="1">
        <v>1</v>
      </c>
      <c r="W280" s="1">
        <v>2</v>
      </c>
      <c r="X280" s="1">
        <v>1</v>
      </c>
      <c r="Y280" s="1">
        <v>1</v>
      </c>
      <c r="Z280" s="1">
        <v>1</v>
      </c>
      <c r="AA280" s="1">
        <v>3</v>
      </c>
      <c r="AB280" s="1">
        <v>1</v>
      </c>
      <c r="AC280" s="1">
        <v>3</v>
      </c>
      <c r="AD280" s="1">
        <v>2</v>
      </c>
      <c r="AE280" s="1">
        <v>1</v>
      </c>
    </row>
    <row r="281" spans="1:31" ht="120">
      <c r="B281" s="1" t="s">
        <v>768</v>
      </c>
      <c r="C281" t="s">
        <v>769</v>
      </c>
      <c r="D281" s="1" t="s">
        <v>770</v>
      </c>
      <c r="E281" s="1" t="e">
        <f>VLOOKUP(Z281,[1]LicenseDuration_ID!$A$2:$B$8,2,FALSE)</f>
        <v>#N/A</v>
      </c>
      <c r="F281" s="1" t="e">
        <f>VLOOKUP(AA281,[1]MaintenanceDuration_ID!$A$2:$B$5,2,FALSE)</f>
        <v>#N/A</v>
      </c>
      <c r="G281" s="1" t="e">
        <f>VLOOKUP(V281,[1]ExpectedDeliveryTime_ID!$A$2:$B$12,2,FALSE)</f>
        <v>#N/A</v>
      </c>
      <c r="H281" s="1" t="e">
        <f>VLOOKUP(AC281,[1]PaymentModel_ID!$A$2:$B$7,2,FALSE)</f>
        <v>#N/A</v>
      </c>
      <c r="I281" s="1" t="e">
        <f>VLOOKUP(W281,[1]ExpectedInvoiceDate_ID!$A$2:$B$12,2,FALSE)</f>
        <v>#N/A</v>
      </c>
      <c r="J281" s="1" t="e">
        <f>VLOOKUP(X281,[1]GrantOfRights_ID!$A$2:$B$7,2,FALSE)</f>
        <v>#N/A</v>
      </c>
      <c r="K281" s="1" t="str">
        <f>VLOOKUP(AE281,[1]Profile!$A$2:$B$8,2,FALSE)</f>
        <v>License</v>
      </c>
      <c r="M281" s="1" t="str">
        <f>VLOOKUP(Y281,[1]License_Method_ID!$A$2:$B$13,2,FALSE)</f>
        <v>no technical license protection</v>
      </c>
      <c r="O281" s="1">
        <v>10</v>
      </c>
      <c r="P281" s="1">
        <v>50</v>
      </c>
      <c r="Q281" s="1" t="str">
        <f>VLOOKUP(AB281,[1]Operational_Profit_Type_ID!$A$2:$B$3,2,FALSE)</f>
        <v>Fix rate</v>
      </c>
      <c r="R281" s="1" t="s">
        <v>55</v>
      </c>
      <c r="T281" s="1" t="str">
        <f>VLOOKUP(AD281,[1]UpdateRightID!$A$2:$B$4,2,FALSE)</f>
        <v>none</v>
      </c>
      <c r="U281" s="1" t="s">
        <v>48</v>
      </c>
      <c r="Y281" s="1">
        <v>0</v>
      </c>
      <c r="AB281" s="1">
        <v>1</v>
      </c>
      <c r="AD281" s="1">
        <v>0</v>
      </c>
      <c r="AE281" s="1">
        <v>1</v>
      </c>
    </row>
    <row r="282" spans="1:31" ht="120">
      <c r="B282" s="1" t="s">
        <v>771</v>
      </c>
      <c r="C282" t="s">
        <v>772</v>
      </c>
      <c r="D282" s="1" t="s">
        <v>773</v>
      </c>
      <c r="E282" s="1" t="e">
        <f>VLOOKUP(Z282,[1]LicenseDuration_ID!$A$2:$B$8,2,FALSE)</f>
        <v>#N/A</v>
      </c>
      <c r="F282" s="1" t="e">
        <f>VLOOKUP(AA282,[1]MaintenanceDuration_ID!$A$2:$B$5,2,FALSE)</f>
        <v>#N/A</v>
      </c>
      <c r="G282" s="1" t="e">
        <f>VLOOKUP(V282,[1]ExpectedDeliveryTime_ID!$A$2:$B$12,2,FALSE)</f>
        <v>#N/A</v>
      </c>
      <c r="H282" s="1" t="e">
        <f>VLOOKUP(AC282,[1]PaymentModel_ID!$A$2:$B$7,2,FALSE)</f>
        <v>#N/A</v>
      </c>
      <c r="I282" s="1" t="e">
        <f>VLOOKUP(W282,[1]ExpectedInvoiceDate_ID!$A$2:$B$12,2,FALSE)</f>
        <v>#N/A</v>
      </c>
      <c r="J282" s="1" t="e">
        <f>VLOOKUP(X282,[1]GrantOfRights_ID!$A$2:$B$7,2,FALSE)</f>
        <v>#N/A</v>
      </c>
      <c r="K282" s="1" t="str">
        <f>VLOOKUP(AE282,[1]Profile!$A$2:$B$8,2,FALSE)</f>
        <v>License</v>
      </c>
      <c r="M282" s="1" t="str">
        <f>VLOOKUP(Y282,[1]License_Method_ID!$A$2:$B$13,2,FALSE)</f>
        <v>no technical license protection</v>
      </c>
      <c r="O282" s="1">
        <v>10</v>
      </c>
      <c r="P282" s="1">
        <v>50</v>
      </c>
      <c r="Q282" s="1" t="str">
        <f>VLOOKUP(AB282,[1]Operational_Profit_Type_ID!$A$2:$B$3,2,FALSE)</f>
        <v>Fix rate</v>
      </c>
      <c r="R282" s="1" t="s">
        <v>55</v>
      </c>
      <c r="T282" s="1" t="str">
        <f>VLOOKUP(AD282,[1]UpdateRightID!$A$2:$B$4,2,FALSE)</f>
        <v>none</v>
      </c>
      <c r="U282" s="1" t="s">
        <v>48</v>
      </c>
      <c r="Y282" s="1">
        <v>0</v>
      </c>
      <c r="AB282" s="1">
        <v>1</v>
      </c>
      <c r="AD282" s="1">
        <v>0</v>
      </c>
      <c r="AE282" s="1">
        <v>1</v>
      </c>
    </row>
    <row r="283" spans="1:31" ht="120">
      <c r="B283" s="1" t="s">
        <v>774</v>
      </c>
      <c r="C283" t="s">
        <v>775</v>
      </c>
      <c r="D283" s="1" t="s">
        <v>773</v>
      </c>
      <c r="E283" s="1" t="e">
        <f>VLOOKUP(Z283,[1]LicenseDuration_ID!$A$2:$B$8,2,FALSE)</f>
        <v>#N/A</v>
      </c>
      <c r="F283" s="1" t="e">
        <f>VLOOKUP(AA283,[1]MaintenanceDuration_ID!$A$2:$B$5,2,FALSE)</f>
        <v>#N/A</v>
      </c>
      <c r="G283" s="1" t="e">
        <f>VLOOKUP(V283,[1]ExpectedDeliveryTime_ID!$A$2:$B$12,2,FALSE)</f>
        <v>#N/A</v>
      </c>
      <c r="H283" s="1" t="e">
        <f>VLOOKUP(AC283,[1]PaymentModel_ID!$A$2:$B$7,2,FALSE)</f>
        <v>#N/A</v>
      </c>
      <c r="I283" s="1" t="e">
        <f>VLOOKUP(W283,[1]ExpectedInvoiceDate_ID!$A$2:$B$12,2,FALSE)</f>
        <v>#N/A</v>
      </c>
      <c r="J283" s="1" t="e">
        <f>VLOOKUP(X283,[1]GrantOfRights_ID!$A$2:$B$7,2,FALSE)</f>
        <v>#N/A</v>
      </c>
      <c r="K283" s="1" t="str">
        <f>VLOOKUP(AE283,[1]Profile!$A$2:$B$8,2,FALSE)</f>
        <v>License</v>
      </c>
      <c r="M283" s="1" t="str">
        <f>VLOOKUP(Y283,[1]License_Method_ID!$A$2:$B$13,2,FALSE)</f>
        <v>no technical license protection</v>
      </c>
      <c r="O283" s="1">
        <v>10</v>
      </c>
      <c r="P283" s="1">
        <v>50</v>
      </c>
      <c r="Q283" s="1" t="str">
        <f>VLOOKUP(AB283,[1]Operational_Profit_Type_ID!$A$2:$B$3,2,FALSE)</f>
        <v>Fix rate</v>
      </c>
      <c r="R283" s="1" t="s">
        <v>55</v>
      </c>
      <c r="T283" s="1" t="str">
        <f>VLOOKUP(AD283,[1]UpdateRightID!$A$2:$B$4,2,FALSE)</f>
        <v>none</v>
      </c>
      <c r="U283" s="1" t="s">
        <v>48</v>
      </c>
      <c r="Y283" s="1">
        <v>0</v>
      </c>
      <c r="AB283" s="1">
        <v>1</v>
      </c>
      <c r="AD283" s="1">
        <v>0</v>
      </c>
      <c r="AE283" s="1">
        <v>1</v>
      </c>
    </row>
    <row r="284" spans="1:31" ht="60">
      <c r="A284" s="1" t="s">
        <v>43</v>
      </c>
      <c r="B284" s="1" t="s">
        <v>776</v>
      </c>
      <c r="C284" t="s">
        <v>777</v>
      </c>
      <c r="D284" s="1" t="s">
        <v>764</v>
      </c>
      <c r="E284" s="1" t="str">
        <f>VLOOKUP(Z284,[1]LicenseDuration_ID!$A$2:$B$8,2,FALSE)</f>
        <v>3 months</v>
      </c>
      <c r="F284" s="1" t="str">
        <f>VLOOKUP(AA284,[1]MaintenanceDuration_ID!$A$2:$B$5,2,FALSE)</f>
        <v>3 months</v>
      </c>
      <c r="G284" s="1" t="str">
        <f>VLOOKUP(V284,[1]ExpectedDeliveryTime_ID!$A$2:$B$12,2,FALSE)</f>
        <v>FINALIZED PURCHASE PROCESS + 2 weeks</v>
      </c>
      <c r="H284" s="1" t="str">
        <f>VLOOKUP(AC284,[1]PaymentModel_ID!$A$2:$B$7,2,FALSE)</f>
        <v>One-time payment</v>
      </c>
      <c r="I284" s="1" t="str">
        <f>VLOOKUP(W284,[1]ExpectedInvoiceDate_ID!$A$2:$B$12,2,FALSE)</f>
        <v>With FINAL DELIVERY</v>
      </c>
      <c r="J284" s="1" t="str">
        <f>VLOOKUP(X284,[1]GrantOfRights_ID!$A$2:$B$7,2,FALSE)</f>
        <v>Elektrobit Tooling Licence</v>
      </c>
      <c r="K284" s="1" t="str">
        <f>VLOOKUP(AE284,[1]Profile!$A$2:$B$8,2,FALSE)</f>
        <v>License</v>
      </c>
      <c r="M284" s="1" t="str">
        <f>VLOOKUP(Y284,[1]License_Method_ID!$A$2:$B$13,2,FALSE)</f>
        <v>FlexNet Publisher Application Activation Code</v>
      </c>
      <c r="N284" s="1" t="s">
        <v>47</v>
      </c>
      <c r="O284" s="1">
        <v>10</v>
      </c>
      <c r="P284" s="1">
        <v>50</v>
      </c>
      <c r="Q284" s="1" t="str">
        <f>VLOOKUP(AB284,[1]Operational_Profit_Type_ID!$A$2:$B$3,2,FALSE)</f>
        <v>Fix rate</v>
      </c>
      <c r="R284" s="1" t="s">
        <v>55</v>
      </c>
      <c r="T284" s="1" t="str">
        <f>VLOOKUP(AD284,[1]UpdateRightID!$A$2:$B$4,2,FALSE)</f>
        <v>UpdateRightByConfiguration</v>
      </c>
      <c r="U284" s="1" t="s">
        <v>48</v>
      </c>
      <c r="V284" s="1">
        <v>2</v>
      </c>
      <c r="W284" s="1">
        <v>7</v>
      </c>
      <c r="X284" s="1">
        <v>2</v>
      </c>
      <c r="Y284" s="1">
        <v>1</v>
      </c>
      <c r="Z284" s="1">
        <v>2</v>
      </c>
      <c r="AA284" s="1">
        <v>2</v>
      </c>
      <c r="AB284" s="1">
        <v>1</v>
      </c>
      <c r="AC284" s="1">
        <v>2</v>
      </c>
      <c r="AD284" s="1">
        <v>1</v>
      </c>
      <c r="AE284" s="1">
        <v>1</v>
      </c>
    </row>
    <row r="285" spans="1:31" ht="135">
      <c r="B285" s="1" t="s">
        <v>778</v>
      </c>
      <c r="C285" t="s">
        <v>779</v>
      </c>
      <c r="D285" s="1" t="s">
        <v>780</v>
      </c>
      <c r="E285" s="1" t="e">
        <f>VLOOKUP(Z285,[1]LicenseDuration_ID!$A$2:$B$8,2,FALSE)</f>
        <v>#N/A</v>
      </c>
      <c r="F285" s="1" t="e">
        <f>VLOOKUP(AA285,[1]MaintenanceDuration_ID!$A$2:$B$5,2,FALSE)</f>
        <v>#N/A</v>
      </c>
      <c r="G285" s="1" t="e">
        <f>VLOOKUP(V285,[1]ExpectedDeliveryTime_ID!$A$2:$B$12,2,FALSE)</f>
        <v>#N/A</v>
      </c>
      <c r="H285" s="1" t="e">
        <f>VLOOKUP(AC285,[1]PaymentModel_ID!$A$2:$B$7,2,FALSE)</f>
        <v>#N/A</v>
      </c>
      <c r="I285" s="1" t="e">
        <f>VLOOKUP(W285,[1]ExpectedInvoiceDate_ID!$A$2:$B$12,2,FALSE)</f>
        <v>#N/A</v>
      </c>
      <c r="J285" s="1" t="e">
        <f>VLOOKUP(X285,[1]GrantOfRights_ID!$A$2:$B$7,2,FALSE)</f>
        <v>#N/A</v>
      </c>
      <c r="K285" s="1" t="str">
        <f>VLOOKUP(AE285,[1]Profile!$A$2:$B$8,2,FALSE)</f>
        <v>License</v>
      </c>
      <c r="M285" s="1" t="str">
        <f>VLOOKUP(Y285,[1]License_Method_ID!$A$2:$B$13,2,FALSE)</f>
        <v>no technical license protection</v>
      </c>
      <c r="O285" s="1">
        <v>10</v>
      </c>
      <c r="P285" s="1">
        <v>50</v>
      </c>
      <c r="Q285" s="1" t="str">
        <f>VLOOKUP(AB285,[1]Operational_Profit_Type_ID!$A$2:$B$3,2,FALSE)</f>
        <v>Fix rate</v>
      </c>
      <c r="R285" s="1" t="s">
        <v>55</v>
      </c>
      <c r="T285" s="1" t="str">
        <f>VLOOKUP(AD285,[1]UpdateRightID!$A$2:$B$4,2,FALSE)</f>
        <v>none</v>
      </c>
      <c r="U285" s="1" t="s">
        <v>48</v>
      </c>
      <c r="Y285" s="1">
        <v>0</v>
      </c>
      <c r="AB285" s="1">
        <v>1</v>
      </c>
      <c r="AD285" s="1">
        <v>0</v>
      </c>
      <c r="AE285" s="1">
        <v>1</v>
      </c>
    </row>
    <row r="286" spans="1:31" ht="135">
      <c r="B286" s="1" t="s">
        <v>781</v>
      </c>
      <c r="C286" t="s">
        <v>782</v>
      </c>
      <c r="D286" s="1" t="s">
        <v>783</v>
      </c>
      <c r="E286" s="1" t="e">
        <f>VLOOKUP(Z286,[1]LicenseDuration_ID!$A$2:$B$8,2,FALSE)</f>
        <v>#N/A</v>
      </c>
      <c r="F286" s="1" t="e">
        <f>VLOOKUP(AA286,[1]MaintenanceDuration_ID!$A$2:$B$5,2,FALSE)</f>
        <v>#N/A</v>
      </c>
      <c r="G286" s="1" t="e">
        <f>VLOOKUP(V286,[1]ExpectedDeliveryTime_ID!$A$2:$B$12,2,FALSE)</f>
        <v>#N/A</v>
      </c>
      <c r="H286" s="1" t="e">
        <f>VLOOKUP(AC286,[1]PaymentModel_ID!$A$2:$B$7,2,FALSE)</f>
        <v>#N/A</v>
      </c>
      <c r="I286" s="1" t="e">
        <f>VLOOKUP(W286,[1]ExpectedInvoiceDate_ID!$A$2:$B$12,2,FALSE)</f>
        <v>#N/A</v>
      </c>
      <c r="J286" s="1" t="e">
        <f>VLOOKUP(X286,[1]GrantOfRights_ID!$A$2:$B$7,2,FALSE)</f>
        <v>#N/A</v>
      </c>
      <c r="K286" s="1" t="str">
        <f>VLOOKUP(AE286,[1]Profile!$A$2:$B$8,2,FALSE)</f>
        <v>License</v>
      </c>
      <c r="M286" s="1" t="str">
        <f>VLOOKUP(Y286,[1]License_Method_ID!$A$2:$B$13,2,FALSE)</f>
        <v>no technical license protection</v>
      </c>
      <c r="O286" s="1">
        <v>10</v>
      </c>
      <c r="P286" s="1">
        <v>50</v>
      </c>
      <c r="Q286" s="1" t="str">
        <f>VLOOKUP(AB286,[1]Operational_Profit_Type_ID!$A$2:$B$3,2,FALSE)</f>
        <v>Fix rate</v>
      </c>
      <c r="R286" s="1" t="s">
        <v>55</v>
      </c>
      <c r="T286" s="1" t="str">
        <f>VLOOKUP(AD286,[1]UpdateRightID!$A$2:$B$4,2,FALSE)</f>
        <v>none</v>
      </c>
      <c r="U286" s="1" t="s">
        <v>48</v>
      </c>
      <c r="Y286" s="1">
        <v>0</v>
      </c>
      <c r="AB286" s="1">
        <v>1</v>
      </c>
      <c r="AD286" s="1">
        <v>0</v>
      </c>
      <c r="AE286" s="1">
        <v>1</v>
      </c>
    </row>
    <row r="287" spans="1:31" ht="135">
      <c r="B287" s="1" t="s">
        <v>784</v>
      </c>
      <c r="C287" t="s">
        <v>785</v>
      </c>
      <c r="D287" s="1" t="s">
        <v>786</v>
      </c>
      <c r="E287" s="1" t="e">
        <f>VLOOKUP(Z287,[1]LicenseDuration_ID!$A$2:$B$8,2,FALSE)</f>
        <v>#N/A</v>
      </c>
      <c r="F287" s="1" t="e">
        <f>VLOOKUP(AA287,[1]MaintenanceDuration_ID!$A$2:$B$5,2,FALSE)</f>
        <v>#N/A</v>
      </c>
      <c r="G287" s="1" t="e">
        <f>VLOOKUP(V287,[1]ExpectedDeliveryTime_ID!$A$2:$B$12,2,FALSE)</f>
        <v>#N/A</v>
      </c>
      <c r="H287" s="1" t="e">
        <f>VLOOKUP(AC287,[1]PaymentModel_ID!$A$2:$B$7,2,FALSE)</f>
        <v>#N/A</v>
      </c>
      <c r="I287" s="1" t="e">
        <f>VLOOKUP(W287,[1]ExpectedInvoiceDate_ID!$A$2:$B$12,2,FALSE)</f>
        <v>#N/A</v>
      </c>
      <c r="J287" s="1" t="e">
        <f>VLOOKUP(X287,[1]GrantOfRights_ID!$A$2:$B$7,2,FALSE)</f>
        <v>#N/A</v>
      </c>
      <c r="K287" s="1" t="str">
        <f>VLOOKUP(AE287,[1]Profile!$A$2:$B$8,2,FALSE)</f>
        <v>License</v>
      </c>
      <c r="M287" s="1" t="str">
        <f>VLOOKUP(Y287,[1]License_Method_ID!$A$2:$B$13,2,FALSE)</f>
        <v>no technical license protection</v>
      </c>
      <c r="O287" s="1">
        <v>10</v>
      </c>
      <c r="P287" s="1">
        <v>50</v>
      </c>
      <c r="Q287" s="1" t="str">
        <f>VLOOKUP(AB287,[1]Operational_Profit_Type_ID!$A$2:$B$3,2,FALSE)</f>
        <v>Fix rate</v>
      </c>
      <c r="R287" s="1" t="s">
        <v>55</v>
      </c>
      <c r="T287" s="1" t="str">
        <f>VLOOKUP(AD287,[1]UpdateRightID!$A$2:$B$4,2,FALSE)</f>
        <v>none</v>
      </c>
      <c r="U287" s="1" t="s">
        <v>48</v>
      </c>
      <c r="Y287" s="1">
        <v>0</v>
      </c>
      <c r="AB287" s="1">
        <v>1</v>
      </c>
      <c r="AD287" s="1">
        <v>0</v>
      </c>
      <c r="AE287" s="1">
        <v>1</v>
      </c>
    </row>
    <row r="288" spans="1:31" ht="105">
      <c r="B288" s="1" t="s">
        <v>787</v>
      </c>
      <c r="C288" t="s">
        <v>788</v>
      </c>
      <c r="D288" s="1" t="s">
        <v>789</v>
      </c>
      <c r="E288" s="1" t="e">
        <f>VLOOKUP(Z288,[1]LicenseDuration_ID!$A$2:$B$8,2,FALSE)</f>
        <v>#N/A</v>
      </c>
      <c r="F288" s="1" t="e">
        <f>VLOOKUP(AA288,[1]MaintenanceDuration_ID!$A$2:$B$5,2,FALSE)</f>
        <v>#N/A</v>
      </c>
      <c r="G288" s="1" t="e">
        <f>VLOOKUP(V288,[1]ExpectedDeliveryTime_ID!$A$2:$B$12,2,FALSE)</f>
        <v>#N/A</v>
      </c>
      <c r="H288" s="1" t="e">
        <f>VLOOKUP(AC288,[1]PaymentModel_ID!$A$2:$B$7,2,FALSE)</f>
        <v>#N/A</v>
      </c>
      <c r="I288" s="1" t="e">
        <f>VLOOKUP(W288,[1]ExpectedInvoiceDate_ID!$A$2:$B$12,2,FALSE)</f>
        <v>#N/A</v>
      </c>
      <c r="J288" s="1" t="e">
        <f>VLOOKUP(X288,[1]GrantOfRights_ID!$A$2:$B$7,2,FALSE)</f>
        <v>#N/A</v>
      </c>
      <c r="K288" s="1" t="str">
        <f>VLOOKUP(AE288,[1]Profile!$A$2:$B$8,2,FALSE)</f>
        <v>License</v>
      </c>
      <c r="M288" s="1" t="str">
        <f>VLOOKUP(Y288,[1]License_Method_ID!$A$2:$B$13,2,FALSE)</f>
        <v>no technical license protection</v>
      </c>
      <c r="O288" s="1">
        <v>10</v>
      </c>
      <c r="P288" s="1">
        <v>50</v>
      </c>
      <c r="Q288" s="1" t="str">
        <f>VLOOKUP(AB288,[1]Operational_Profit_Type_ID!$A$2:$B$3,2,FALSE)</f>
        <v>Fix rate</v>
      </c>
      <c r="R288" s="1" t="s">
        <v>55</v>
      </c>
      <c r="T288" s="1" t="str">
        <f>VLOOKUP(AD288,[1]UpdateRightID!$A$2:$B$4,2,FALSE)</f>
        <v>none</v>
      </c>
      <c r="U288" s="1" t="s">
        <v>48</v>
      </c>
      <c r="Y288" s="1">
        <v>0</v>
      </c>
      <c r="AB288" s="1">
        <v>1</v>
      </c>
      <c r="AD288" s="1">
        <v>0</v>
      </c>
      <c r="AE288" s="1">
        <v>1</v>
      </c>
    </row>
    <row r="289" spans="1:31" ht="255">
      <c r="A289" s="1" t="s">
        <v>43</v>
      </c>
      <c r="B289" s="1" t="s">
        <v>790</v>
      </c>
      <c r="C289" t="s">
        <v>791</v>
      </c>
      <c r="D289" s="1" t="s">
        <v>792</v>
      </c>
      <c r="E289" s="1" t="str">
        <f>VLOOKUP(Z289,[1]LicenseDuration_ID!$A$2:$B$8,2,FALSE)</f>
        <v>perpetual</v>
      </c>
      <c r="F289" s="1" t="str">
        <f>VLOOKUP(AA289,[1]MaintenanceDuration_ID!$A$2:$B$5,2,FALSE)</f>
        <v>12 months</v>
      </c>
      <c r="G289" s="1" t="str">
        <f>VLOOKUP(V289,[1]ExpectedDeliveryTime_ID!$A$2:$B$12,2,FALSE)</f>
        <v>FINALIZED PURCHASE PROCESS + 2 weeks</v>
      </c>
      <c r="H289" s="1" t="str">
        <f>VLOOKUP(AC289,[1]PaymentModel_ID!$A$2:$B$7,2,FALSE)</f>
        <v>One-time payment</v>
      </c>
      <c r="I289" s="1" t="str">
        <f>VLOOKUP(W289,[1]ExpectedInvoiceDate_ID!$A$2:$B$12,2,FALSE)</f>
        <v>With FINAL DELIVERY</v>
      </c>
      <c r="J289" s="1" t="str">
        <f>VLOOKUP(X289,[1]GrantOfRights_ID!$A$2:$B$7,2,FALSE)</f>
        <v>Reproduction and Distribution License</v>
      </c>
      <c r="K289" s="1" t="str">
        <f>VLOOKUP(AE289,[1]Profile!$A$2:$B$8,2,FALSE)</f>
        <v>License</v>
      </c>
      <c r="M289" s="1" t="str">
        <f>VLOOKUP(Y289,[1]License_Method_ID!$A$2:$B$13,2,FALSE)</f>
        <v>no technical license protection</v>
      </c>
      <c r="N289" s="1" t="s">
        <v>47</v>
      </c>
      <c r="O289" s="1">
        <v>10</v>
      </c>
      <c r="P289" s="1">
        <v>50</v>
      </c>
      <c r="Q289" s="1" t="str">
        <f>VLOOKUP(AB289,[1]Operational_Profit_Type_ID!$A$2:$B$3,2,FALSE)</f>
        <v>Fix rate</v>
      </c>
      <c r="R289" s="1" t="s">
        <v>48</v>
      </c>
      <c r="T289" s="1" t="str">
        <f>VLOOKUP(AD289,[1]UpdateRightID!$A$2:$B$4,2,FALSE)</f>
        <v>UpdateRightByConfiguration</v>
      </c>
      <c r="U289" s="1" t="s">
        <v>48</v>
      </c>
      <c r="V289" s="1">
        <v>2</v>
      </c>
      <c r="W289" s="1">
        <v>7</v>
      </c>
      <c r="X289" s="1">
        <v>5</v>
      </c>
      <c r="Y289" s="1">
        <v>0</v>
      </c>
      <c r="Z289" s="1">
        <v>6</v>
      </c>
      <c r="AA289" s="1">
        <v>3</v>
      </c>
      <c r="AB289" s="1">
        <v>1</v>
      </c>
      <c r="AC289" s="1">
        <v>2</v>
      </c>
      <c r="AD289" s="1">
        <v>1</v>
      </c>
      <c r="AE289" s="1">
        <v>1</v>
      </c>
    </row>
    <row r="290" spans="1:31" ht="180">
      <c r="A290" s="1" t="s">
        <v>43</v>
      </c>
      <c r="B290" s="1" t="s">
        <v>793</v>
      </c>
      <c r="C290" t="s">
        <v>794</v>
      </c>
      <c r="D290" s="1" t="s">
        <v>795</v>
      </c>
      <c r="E290" s="1" t="str">
        <f>VLOOKUP(Z290,[1]LicenseDuration_ID!$A$2:$B$8,2,FALSE)</f>
        <v>n/a</v>
      </c>
      <c r="F290" s="1" t="str">
        <f>VLOOKUP(AA290,[1]MaintenanceDuration_ID!$A$2:$B$5,2,FALSE)</f>
        <v>12 months</v>
      </c>
      <c r="G290" s="1" t="str">
        <f>VLOOKUP(V290,[1]ExpectedDeliveryTime_ID!$A$2:$B$12,2,FALSE)</f>
        <v>n/a</v>
      </c>
      <c r="H290" s="1" t="str">
        <f>VLOOKUP(AC290,[1]PaymentModel_ID!$A$2:$B$7,2,FALSE)</f>
        <v>Annual payment</v>
      </c>
      <c r="I290" s="1" t="str">
        <f>VLOOKUP(W290,[1]ExpectedInvoiceDate_ID!$A$2:$B$12,2,FALSE)</f>
        <v>Anually at the beginning of the extended period</v>
      </c>
      <c r="J290" s="1" t="str">
        <f>VLOOKUP(X290,[1]GrantOfRights_ID!$A$2:$B$7,2,FALSE)</f>
        <v>n/a</v>
      </c>
      <c r="K290" s="1" t="str">
        <f>VLOOKUP(AE290,[1]Profile!$A$2:$B$8,2,FALSE)</f>
        <v>License</v>
      </c>
      <c r="M290" s="1" t="str">
        <f>VLOOKUP(Y290,[1]License_Method_ID!$A$2:$B$13,2,FALSE)</f>
        <v>no technical license protection</v>
      </c>
      <c r="N290" s="1" t="s">
        <v>47</v>
      </c>
      <c r="O290" s="1">
        <v>10</v>
      </c>
      <c r="P290" s="1">
        <v>50</v>
      </c>
      <c r="Q290" s="1" t="str">
        <f>VLOOKUP(AB290,[1]Operational_Profit_Type_ID!$A$2:$B$3,2,FALSE)</f>
        <v>Fix rate</v>
      </c>
      <c r="R290" s="1" t="s">
        <v>55</v>
      </c>
      <c r="T290" s="1" t="str">
        <f>VLOOKUP(AD290,[1]UpdateRightID!$A$2:$B$4,2,FALSE)</f>
        <v>TotalAmountAsUpdateRight</v>
      </c>
      <c r="U290" s="1" t="s">
        <v>48</v>
      </c>
      <c r="V290" s="1">
        <v>1</v>
      </c>
      <c r="W290" s="1">
        <v>2</v>
      </c>
      <c r="X290" s="1">
        <v>1</v>
      </c>
      <c r="Y290" s="1">
        <v>0</v>
      </c>
      <c r="Z290" s="1">
        <v>1</v>
      </c>
      <c r="AA290" s="1">
        <v>3</v>
      </c>
      <c r="AB290" s="1">
        <v>1</v>
      </c>
      <c r="AC290" s="1">
        <v>3</v>
      </c>
      <c r="AD290" s="1">
        <v>2</v>
      </c>
      <c r="AE290" s="1">
        <v>1</v>
      </c>
    </row>
    <row r="291" spans="1:31">
      <c r="B291" s="1" t="s">
        <v>796</v>
      </c>
      <c r="C291" t="s">
        <v>797</v>
      </c>
      <c r="E291" s="1" t="e">
        <f>VLOOKUP(Z291,[1]LicenseDuration_ID!$A$2:$B$8,2,FALSE)</f>
        <v>#N/A</v>
      </c>
      <c r="F291" s="1" t="e">
        <f>VLOOKUP(AA291,[1]MaintenanceDuration_ID!$A$2:$B$5,2,FALSE)</f>
        <v>#N/A</v>
      </c>
      <c r="G291" s="1" t="e">
        <f>VLOOKUP(V291,[1]ExpectedDeliveryTime_ID!$A$2:$B$12,2,FALSE)</f>
        <v>#N/A</v>
      </c>
      <c r="H291" s="1" t="e">
        <f>VLOOKUP(AC291,[1]PaymentModel_ID!$A$2:$B$7,2,FALSE)</f>
        <v>#N/A</v>
      </c>
      <c r="I291" s="1" t="e">
        <f>VLOOKUP(W291,[1]ExpectedInvoiceDate_ID!$A$2:$B$12,2,FALSE)</f>
        <v>#N/A</v>
      </c>
      <c r="J291" s="1" t="e">
        <f>VLOOKUP(X291,[1]GrantOfRights_ID!$A$2:$B$7,2,FALSE)</f>
        <v>#N/A</v>
      </c>
      <c r="K291" s="1" t="str">
        <f>VLOOKUP(AE291,[1]Profile!$A$2:$B$8,2,FALSE)</f>
        <v>Training</v>
      </c>
      <c r="M291" s="1" t="str">
        <f>VLOOKUP(Y291,[1]License_Method_ID!$A$2:$B$13,2,FALSE)</f>
        <v>no technical license protection</v>
      </c>
      <c r="O291" s="1">
        <v>10</v>
      </c>
      <c r="Q291" s="1" t="str">
        <f>VLOOKUP(AB291,[1]Operational_Profit_Type_ID!$A$2:$B$3,2,FALSE)</f>
        <v>Calculated</v>
      </c>
      <c r="R291" s="1" t="s">
        <v>55</v>
      </c>
      <c r="T291" s="1" t="str">
        <f>VLOOKUP(AD291,[1]UpdateRightID!$A$2:$B$4,2,FALSE)</f>
        <v>none</v>
      </c>
      <c r="U291" s="1" t="s">
        <v>48</v>
      </c>
      <c r="Y291" s="1">
        <v>0</v>
      </c>
      <c r="AB291" s="1">
        <v>2</v>
      </c>
      <c r="AD291" s="1">
        <v>0</v>
      </c>
      <c r="AE291" s="1">
        <v>5</v>
      </c>
    </row>
    <row r="292" spans="1:31" ht="75">
      <c r="B292" s="1" t="s">
        <v>798</v>
      </c>
      <c r="C292" t="s">
        <v>799</v>
      </c>
      <c r="E292" s="1" t="e">
        <f>VLOOKUP(Z292,[1]LicenseDuration_ID!$A$2:$B$8,2,FALSE)</f>
        <v>#N/A</v>
      </c>
      <c r="F292" s="1" t="e">
        <f>VLOOKUP(AA292,[1]MaintenanceDuration_ID!$A$2:$B$5,2,FALSE)</f>
        <v>#N/A</v>
      </c>
      <c r="G292" s="1" t="e">
        <f>VLOOKUP(V292,[1]ExpectedDeliveryTime_ID!$A$2:$B$12,2,FALSE)</f>
        <v>#N/A</v>
      </c>
      <c r="H292" s="1" t="e">
        <f>VLOOKUP(AC292,[1]PaymentModel_ID!$A$2:$B$7,2,FALSE)</f>
        <v>#N/A</v>
      </c>
      <c r="I292" s="1" t="e">
        <f>VLOOKUP(W292,[1]ExpectedInvoiceDate_ID!$A$2:$B$12,2,FALSE)</f>
        <v>#N/A</v>
      </c>
      <c r="J292" s="1" t="e">
        <f>VLOOKUP(X292,[1]GrantOfRights_ID!$A$2:$B$7,2,FALSE)</f>
        <v>#N/A</v>
      </c>
      <c r="K292" s="1" t="str">
        <f>VLOOKUP(AE292,[1]Profile!$A$2:$B$8,2,FALSE)</f>
        <v>Product related service without profile</v>
      </c>
      <c r="M292" s="1" t="str">
        <f>VLOOKUP(Y292,[1]License_Method_ID!$A$2:$B$13,2,FALSE)</f>
        <v>no technical license protection</v>
      </c>
      <c r="N292" s="1" t="s">
        <v>88</v>
      </c>
      <c r="O292" s="1">
        <v>10</v>
      </c>
      <c r="Q292" s="1" t="str">
        <f>VLOOKUP(AB292,[1]Operational_Profit_Type_ID!$A$2:$B$3,2,FALSE)</f>
        <v>Calculated</v>
      </c>
      <c r="R292" s="1" t="s">
        <v>55</v>
      </c>
      <c r="T292" s="1" t="str">
        <f>VLOOKUP(AD292,[1]UpdateRightID!$A$2:$B$4,2,FALSE)</f>
        <v>none</v>
      </c>
      <c r="U292" s="1" t="s">
        <v>48</v>
      </c>
      <c r="Y292" s="1">
        <v>0</v>
      </c>
      <c r="AB292" s="1">
        <v>2</v>
      </c>
      <c r="AD292" s="1">
        <v>0</v>
      </c>
      <c r="AE292" s="1">
        <v>0</v>
      </c>
    </row>
    <row r="293" spans="1:31" ht="240">
      <c r="B293" s="1" t="s">
        <v>800</v>
      </c>
      <c r="C293" t="s">
        <v>801</v>
      </c>
      <c r="D293" s="1" t="s">
        <v>802</v>
      </c>
      <c r="E293" s="1" t="e">
        <f>VLOOKUP(Z293,[1]LicenseDuration_ID!$A$2:$B$8,2,FALSE)</f>
        <v>#N/A</v>
      </c>
      <c r="F293" s="1" t="e">
        <f>VLOOKUP(AA293,[1]MaintenanceDuration_ID!$A$2:$B$5,2,FALSE)</f>
        <v>#N/A</v>
      </c>
      <c r="G293" s="1" t="e">
        <f>VLOOKUP(V293,[1]ExpectedDeliveryTime_ID!$A$2:$B$12,2,FALSE)</f>
        <v>#N/A</v>
      </c>
      <c r="H293" s="1" t="e">
        <f>VLOOKUP(AC293,[1]PaymentModel_ID!$A$2:$B$7,2,FALSE)</f>
        <v>#N/A</v>
      </c>
      <c r="I293" s="1" t="e">
        <f>VLOOKUP(W293,[1]ExpectedInvoiceDate_ID!$A$2:$B$12,2,FALSE)</f>
        <v>#N/A</v>
      </c>
      <c r="J293" s="1" t="e">
        <f>VLOOKUP(X293,[1]GrantOfRights_ID!$A$2:$B$7,2,FALSE)</f>
        <v>#N/A</v>
      </c>
      <c r="K293" s="1" t="str">
        <f>VLOOKUP(AE293,[1]Profile!$A$2:$B$8,2,FALSE)</f>
        <v>License</v>
      </c>
      <c r="M293" s="1" t="str">
        <f>VLOOKUP(Y293,[1]License_Method_ID!$A$2:$B$13,2,FALSE)</f>
        <v>EB GUIDE Node-Locked License File</v>
      </c>
      <c r="N293" s="1" t="s">
        <v>47</v>
      </c>
      <c r="O293" s="1">
        <v>10</v>
      </c>
      <c r="P293" s="1">
        <v>50</v>
      </c>
      <c r="Q293" s="1" t="str">
        <f>VLOOKUP(AB293,[1]Operational_Profit_Type_ID!$A$2:$B$3,2,FALSE)</f>
        <v>Fix rate</v>
      </c>
      <c r="R293" s="1" t="s">
        <v>48</v>
      </c>
      <c r="T293" s="1" t="str">
        <f>VLOOKUP(AD293,[1]UpdateRightID!$A$2:$B$4,2,FALSE)</f>
        <v>UpdateRightByConfiguration</v>
      </c>
      <c r="U293" s="1" t="s">
        <v>48</v>
      </c>
      <c r="Y293" s="1">
        <v>9</v>
      </c>
      <c r="AB293" s="1">
        <v>1</v>
      </c>
      <c r="AD293" s="1">
        <v>1</v>
      </c>
      <c r="AE293" s="1">
        <v>1</v>
      </c>
    </row>
    <row r="294" spans="1:31" ht="225">
      <c r="B294" s="1" t="s">
        <v>803</v>
      </c>
      <c r="C294" t="s">
        <v>804</v>
      </c>
      <c r="D294" s="1" t="s">
        <v>805</v>
      </c>
      <c r="E294" s="1" t="e">
        <f>VLOOKUP(Z294,[1]LicenseDuration_ID!$A$2:$B$8,2,FALSE)</f>
        <v>#N/A</v>
      </c>
      <c r="F294" s="1" t="e">
        <f>VLOOKUP(AA294,[1]MaintenanceDuration_ID!$A$2:$B$5,2,FALSE)</f>
        <v>#N/A</v>
      </c>
      <c r="G294" s="1" t="e">
        <f>VLOOKUP(V294,[1]ExpectedDeliveryTime_ID!$A$2:$B$12,2,FALSE)</f>
        <v>#N/A</v>
      </c>
      <c r="H294" s="1" t="e">
        <f>VLOOKUP(AC294,[1]PaymentModel_ID!$A$2:$B$7,2,FALSE)</f>
        <v>#N/A</v>
      </c>
      <c r="I294" s="1" t="e">
        <f>VLOOKUP(W294,[1]ExpectedInvoiceDate_ID!$A$2:$B$12,2,FALSE)</f>
        <v>#N/A</v>
      </c>
      <c r="J294" s="1" t="e">
        <f>VLOOKUP(X294,[1]GrantOfRights_ID!$A$2:$B$7,2,FALSE)</f>
        <v>#N/A</v>
      </c>
      <c r="K294" s="1" t="str">
        <f>VLOOKUP(AE294,[1]Profile!$A$2:$B$8,2,FALSE)</f>
        <v>License</v>
      </c>
      <c r="M294" s="1" t="str">
        <f>VLOOKUP(Y294,[1]License_Method_ID!$A$2:$B$13,2,FALSE)</f>
        <v>EB GUIDE Node-Locked License File</v>
      </c>
      <c r="N294" s="1" t="s">
        <v>47</v>
      </c>
      <c r="O294" s="1">
        <v>10</v>
      </c>
      <c r="P294" s="1">
        <v>50</v>
      </c>
      <c r="Q294" s="1" t="str">
        <f>VLOOKUP(AB294,[1]Operational_Profit_Type_ID!$A$2:$B$3,2,FALSE)</f>
        <v>Fix rate</v>
      </c>
      <c r="R294" s="1" t="s">
        <v>48</v>
      </c>
      <c r="T294" s="1" t="str">
        <f>VLOOKUP(AD294,[1]UpdateRightID!$A$2:$B$4,2,FALSE)</f>
        <v>TotalAmountAsUpdateRight</v>
      </c>
      <c r="U294" s="1" t="s">
        <v>48</v>
      </c>
      <c r="Y294" s="1">
        <v>9</v>
      </c>
      <c r="AB294" s="1">
        <v>1</v>
      </c>
      <c r="AD294" s="1">
        <v>2</v>
      </c>
      <c r="AE294" s="1">
        <v>1</v>
      </c>
    </row>
    <row r="295" spans="1:31" ht="90">
      <c r="B295" s="1" t="s">
        <v>806</v>
      </c>
      <c r="C295" t="s">
        <v>807</v>
      </c>
      <c r="D295" s="1" t="s">
        <v>808</v>
      </c>
      <c r="E295" s="1" t="e">
        <f>VLOOKUP(Z295,[1]LicenseDuration_ID!$A$2:$B$8,2,FALSE)</f>
        <v>#N/A</v>
      </c>
      <c r="F295" s="1" t="e">
        <f>VLOOKUP(AA295,[1]MaintenanceDuration_ID!$A$2:$B$5,2,FALSE)</f>
        <v>#N/A</v>
      </c>
      <c r="G295" s="1" t="e">
        <f>VLOOKUP(V295,[1]ExpectedDeliveryTime_ID!$A$2:$B$12,2,FALSE)</f>
        <v>#N/A</v>
      </c>
      <c r="H295" s="1" t="e">
        <f>VLOOKUP(AC295,[1]PaymentModel_ID!$A$2:$B$7,2,FALSE)</f>
        <v>#N/A</v>
      </c>
      <c r="I295" s="1" t="e">
        <f>VLOOKUP(W295,[1]ExpectedInvoiceDate_ID!$A$2:$B$12,2,FALSE)</f>
        <v>#N/A</v>
      </c>
      <c r="J295" s="1" t="e">
        <f>VLOOKUP(X295,[1]GrantOfRights_ID!$A$2:$B$7,2,FALSE)</f>
        <v>#N/A</v>
      </c>
      <c r="K295" s="1" t="str">
        <f>VLOOKUP(AE295,[1]Profile!$A$2:$B$8,2,FALSE)</f>
        <v>License</v>
      </c>
      <c r="M295" s="1" t="str">
        <f>VLOOKUP(Y295,[1]License_Method_ID!$A$2:$B$13,2,FALSE)</f>
        <v>ADTF Node-Locked License File</v>
      </c>
      <c r="N295" s="1" t="s">
        <v>47</v>
      </c>
      <c r="O295" s="1">
        <v>10</v>
      </c>
      <c r="Q295" s="1" t="str">
        <f>VLOOKUP(AB295,[1]Operational_Profit_Type_ID!$A$2:$B$3,2,FALSE)</f>
        <v>Calculated</v>
      </c>
      <c r="R295" s="1" t="s">
        <v>48</v>
      </c>
      <c r="T295" s="1" t="str">
        <f>VLOOKUP(AD295,[1]UpdateRightID!$A$2:$B$4,2,FALSE)</f>
        <v>TotalAmountAsUpdateRight</v>
      </c>
      <c r="U295" s="1" t="s">
        <v>48</v>
      </c>
      <c r="Y295" s="1">
        <v>7</v>
      </c>
      <c r="AB295" s="1">
        <v>2</v>
      </c>
      <c r="AD295" s="1">
        <v>2</v>
      </c>
      <c r="AE295" s="1">
        <v>1</v>
      </c>
    </row>
    <row r="296" spans="1:31" ht="255">
      <c r="B296" s="1" t="s">
        <v>809</v>
      </c>
      <c r="C296" t="s">
        <v>810</v>
      </c>
      <c r="D296" s="1" t="s">
        <v>634</v>
      </c>
      <c r="E296" s="1" t="e">
        <f>VLOOKUP(Z296,[1]LicenseDuration_ID!$A$2:$B$8,2,FALSE)</f>
        <v>#N/A</v>
      </c>
      <c r="F296" s="1" t="e">
        <f>VLOOKUP(AA296,[1]MaintenanceDuration_ID!$A$2:$B$5,2,FALSE)</f>
        <v>#N/A</v>
      </c>
      <c r="G296" s="1" t="e">
        <f>VLOOKUP(V296,[1]ExpectedDeliveryTime_ID!$A$2:$B$12,2,FALSE)</f>
        <v>#N/A</v>
      </c>
      <c r="H296" s="1" t="e">
        <f>VLOOKUP(AC296,[1]PaymentModel_ID!$A$2:$B$7,2,FALSE)</f>
        <v>#N/A</v>
      </c>
      <c r="I296" s="1" t="e">
        <f>VLOOKUP(W296,[1]ExpectedInvoiceDate_ID!$A$2:$B$12,2,FALSE)</f>
        <v>#N/A</v>
      </c>
      <c r="J296" s="1" t="e">
        <f>VLOOKUP(X296,[1]GrantOfRights_ID!$A$2:$B$7,2,FALSE)</f>
        <v>#N/A</v>
      </c>
      <c r="K296" s="1" t="str">
        <f>VLOOKUP(AE296,[1]Profile!$A$2:$B$8,2,FALSE)</f>
        <v>License</v>
      </c>
      <c r="M296" s="1" t="str">
        <f>VLOOKUP(Y296,[1]License_Method_ID!$A$2:$B$13,2,FALSE)</f>
        <v>EB GUIDE Node-Locked License File</v>
      </c>
      <c r="N296" s="1" t="s">
        <v>47</v>
      </c>
      <c r="O296" s="1">
        <v>10</v>
      </c>
      <c r="P296" s="1">
        <v>50</v>
      </c>
      <c r="Q296" s="1" t="str">
        <f>VLOOKUP(AB296,[1]Operational_Profit_Type_ID!$A$2:$B$3,2,FALSE)</f>
        <v>Fix rate</v>
      </c>
      <c r="R296" s="1" t="s">
        <v>55</v>
      </c>
      <c r="T296" s="1" t="str">
        <f>VLOOKUP(AD296,[1]UpdateRightID!$A$2:$B$4,2,FALSE)</f>
        <v>UpdateRightByConfiguration</v>
      </c>
      <c r="U296" s="1" t="s">
        <v>48</v>
      </c>
      <c r="Y296" s="1">
        <v>9</v>
      </c>
      <c r="AB296" s="1">
        <v>1</v>
      </c>
      <c r="AD296" s="1">
        <v>1</v>
      </c>
      <c r="AE296" s="1">
        <v>1</v>
      </c>
    </row>
    <row r="297" spans="1:31" ht="210">
      <c r="B297" s="1" t="s">
        <v>811</v>
      </c>
      <c r="C297" t="s">
        <v>812</v>
      </c>
      <c r="D297" s="1" t="s">
        <v>621</v>
      </c>
      <c r="E297" s="1" t="e">
        <f>VLOOKUP(Z297,[1]LicenseDuration_ID!$A$2:$B$8,2,FALSE)</f>
        <v>#N/A</v>
      </c>
      <c r="F297" s="1" t="e">
        <f>VLOOKUP(AA297,[1]MaintenanceDuration_ID!$A$2:$B$5,2,FALSE)</f>
        <v>#N/A</v>
      </c>
      <c r="G297" s="1" t="e">
        <f>VLOOKUP(V297,[1]ExpectedDeliveryTime_ID!$A$2:$B$12,2,FALSE)</f>
        <v>#N/A</v>
      </c>
      <c r="H297" s="1" t="e">
        <f>VLOOKUP(AC297,[1]PaymentModel_ID!$A$2:$B$7,2,FALSE)</f>
        <v>#N/A</v>
      </c>
      <c r="I297" s="1" t="e">
        <f>VLOOKUP(W297,[1]ExpectedInvoiceDate_ID!$A$2:$B$12,2,FALSE)</f>
        <v>#N/A</v>
      </c>
      <c r="J297" s="1" t="e">
        <f>VLOOKUP(X297,[1]GrantOfRights_ID!$A$2:$B$7,2,FALSE)</f>
        <v>#N/A</v>
      </c>
      <c r="K297" s="1" t="str">
        <f>VLOOKUP(AE297,[1]Profile!$A$2:$B$8,2,FALSE)</f>
        <v>License</v>
      </c>
      <c r="M297" s="1" t="str">
        <f>VLOOKUP(Y297,[1]License_Method_ID!$A$2:$B$13,2,FALSE)</f>
        <v>EB GUIDE Node-Locked License File</v>
      </c>
      <c r="N297" s="1" t="s">
        <v>47</v>
      </c>
      <c r="O297" s="1">
        <v>10</v>
      </c>
      <c r="P297" s="1">
        <v>50</v>
      </c>
      <c r="Q297" s="1" t="str">
        <f>VLOOKUP(AB297,[1]Operational_Profit_Type_ID!$A$2:$B$3,2,FALSE)</f>
        <v>Fix rate</v>
      </c>
      <c r="R297" s="1" t="s">
        <v>48</v>
      </c>
      <c r="T297" s="1" t="str">
        <f>VLOOKUP(AD297,[1]UpdateRightID!$A$2:$B$4,2,FALSE)</f>
        <v>none</v>
      </c>
      <c r="U297" s="1" t="s">
        <v>48</v>
      </c>
      <c r="Y297" s="1">
        <v>9</v>
      </c>
      <c r="AB297" s="1">
        <v>1</v>
      </c>
      <c r="AD297" s="1">
        <v>0</v>
      </c>
      <c r="AE297" s="1">
        <v>1</v>
      </c>
    </row>
    <row r="298" spans="1:31" ht="30">
      <c r="B298" s="1" t="s">
        <v>813</v>
      </c>
      <c r="C298" t="s">
        <v>814</v>
      </c>
      <c r="D298" s="1" t="s">
        <v>815</v>
      </c>
      <c r="E298" s="1" t="e">
        <f>VLOOKUP(Z298,[1]LicenseDuration_ID!$A$2:$B$8,2,FALSE)</f>
        <v>#N/A</v>
      </c>
      <c r="F298" s="1" t="e">
        <f>VLOOKUP(AA298,[1]MaintenanceDuration_ID!$A$2:$B$5,2,FALSE)</f>
        <v>#N/A</v>
      </c>
      <c r="G298" s="1" t="e">
        <f>VLOOKUP(V298,[1]ExpectedDeliveryTime_ID!$A$2:$B$12,2,FALSE)</f>
        <v>#N/A</v>
      </c>
      <c r="H298" s="1" t="e">
        <f>VLOOKUP(AC298,[1]PaymentModel_ID!$A$2:$B$7,2,FALSE)</f>
        <v>#N/A</v>
      </c>
      <c r="I298" s="1" t="e">
        <f>VLOOKUP(W298,[1]ExpectedInvoiceDate_ID!$A$2:$B$12,2,FALSE)</f>
        <v>#N/A</v>
      </c>
      <c r="J298" s="1" t="e">
        <f>VLOOKUP(X298,[1]GrantOfRights_ID!$A$2:$B$7,2,FALSE)</f>
        <v>#N/A</v>
      </c>
      <c r="K298" s="1" t="str">
        <f>VLOOKUP(AE298,[1]Profile!$A$2:$B$8,2,FALSE)</f>
        <v>License</v>
      </c>
      <c r="M298" s="1" t="str">
        <f>VLOOKUP(Y298,[1]License_Method_ID!$A$2:$B$13,2,FALSE)</f>
        <v>FlexNet Publisher Application Activation Code</v>
      </c>
      <c r="N298" s="1" t="s">
        <v>47</v>
      </c>
      <c r="O298" s="1">
        <v>10</v>
      </c>
      <c r="P298" s="1">
        <v>50</v>
      </c>
      <c r="Q298" s="1" t="str">
        <f>VLOOKUP(AB298,[1]Operational_Profit_Type_ID!$A$2:$B$3,2,FALSE)</f>
        <v>Fix rate</v>
      </c>
      <c r="R298" s="1" t="s">
        <v>48</v>
      </c>
      <c r="T298" s="1" t="str">
        <f>VLOOKUP(AD298,[1]UpdateRightID!$A$2:$B$4,2,FALSE)</f>
        <v>none</v>
      </c>
      <c r="U298" s="1" t="s">
        <v>48</v>
      </c>
      <c r="Y298" s="1">
        <v>1</v>
      </c>
      <c r="AB298" s="1">
        <v>1</v>
      </c>
      <c r="AD298" s="1">
        <v>0</v>
      </c>
      <c r="AE298" s="1">
        <v>1</v>
      </c>
    </row>
    <row r="299" spans="1:31" ht="45">
      <c r="B299" s="1" t="s">
        <v>816</v>
      </c>
      <c r="C299" t="s">
        <v>817</v>
      </c>
      <c r="D299" s="1" t="s">
        <v>818</v>
      </c>
      <c r="E299" s="1" t="e">
        <f>VLOOKUP(Z299,[1]LicenseDuration_ID!$A$2:$B$8,2,FALSE)</f>
        <v>#N/A</v>
      </c>
      <c r="F299" s="1" t="e">
        <f>VLOOKUP(AA299,[1]MaintenanceDuration_ID!$A$2:$B$5,2,FALSE)</f>
        <v>#N/A</v>
      </c>
      <c r="G299" s="1" t="e">
        <f>VLOOKUP(V299,[1]ExpectedDeliveryTime_ID!$A$2:$B$12,2,FALSE)</f>
        <v>#N/A</v>
      </c>
      <c r="H299" s="1" t="e">
        <f>VLOOKUP(AC299,[1]PaymentModel_ID!$A$2:$B$7,2,FALSE)</f>
        <v>#N/A</v>
      </c>
      <c r="I299" s="1" t="e">
        <f>VLOOKUP(W299,[1]ExpectedInvoiceDate_ID!$A$2:$B$12,2,FALSE)</f>
        <v>#N/A</v>
      </c>
      <c r="J299" s="1" t="e">
        <f>VLOOKUP(X299,[1]GrantOfRights_ID!$A$2:$B$7,2,FALSE)</f>
        <v>#N/A</v>
      </c>
      <c r="K299" s="1" t="str">
        <f>VLOOKUP(AE299,[1]Profile!$A$2:$B$8,2,FALSE)</f>
        <v>Porting</v>
      </c>
      <c r="M299" s="1" t="str">
        <f>VLOOKUP(Y299,[1]License_Method_ID!$A$2:$B$13,2,FALSE)</f>
        <v>no technical license protection</v>
      </c>
      <c r="N299" s="1" t="s">
        <v>88</v>
      </c>
      <c r="O299" s="1">
        <v>10</v>
      </c>
      <c r="Q299" s="1" t="str">
        <f>VLOOKUP(AB299,[1]Operational_Profit_Type_ID!$A$2:$B$3,2,FALSE)</f>
        <v>Calculated</v>
      </c>
      <c r="R299" s="1" t="s">
        <v>55</v>
      </c>
      <c r="T299" s="1" t="str">
        <f>VLOOKUP(AD299,[1]UpdateRightID!$A$2:$B$4,2,FALSE)</f>
        <v>none</v>
      </c>
      <c r="U299" s="1" t="s">
        <v>48</v>
      </c>
      <c r="Y299" s="1">
        <v>0</v>
      </c>
      <c r="AB299" s="1">
        <v>2</v>
      </c>
      <c r="AD299" s="1">
        <v>0</v>
      </c>
      <c r="AE299" s="1">
        <v>4</v>
      </c>
    </row>
    <row r="300" spans="1:31" ht="45">
      <c r="B300" s="1" t="s">
        <v>819</v>
      </c>
      <c r="C300" t="s">
        <v>820</v>
      </c>
      <c r="D300" s="1" t="s">
        <v>821</v>
      </c>
      <c r="E300" s="1" t="e">
        <f>VLOOKUP(Z300,[1]LicenseDuration_ID!$A$2:$B$8,2,FALSE)</f>
        <v>#N/A</v>
      </c>
      <c r="F300" s="1" t="e">
        <f>VLOOKUP(AA300,[1]MaintenanceDuration_ID!$A$2:$B$5,2,FALSE)</f>
        <v>#N/A</v>
      </c>
      <c r="G300" s="1" t="e">
        <f>VLOOKUP(V300,[1]ExpectedDeliveryTime_ID!$A$2:$B$12,2,FALSE)</f>
        <v>#N/A</v>
      </c>
      <c r="H300" s="1" t="e">
        <f>VLOOKUP(AC300,[1]PaymentModel_ID!$A$2:$B$7,2,FALSE)</f>
        <v>#N/A</v>
      </c>
      <c r="I300" s="1" t="e">
        <f>VLOOKUP(W300,[1]ExpectedInvoiceDate_ID!$A$2:$B$12,2,FALSE)</f>
        <v>#N/A</v>
      </c>
      <c r="J300" s="1" t="e">
        <f>VLOOKUP(X300,[1]GrantOfRights_ID!$A$2:$B$7,2,FALSE)</f>
        <v>#N/A</v>
      </c>
      <c r="K300" s="1" t="str">
        <f>VLOOKUP(AE300,[1]Profile!$A$2:$B$8,2,FALSE)</f>
        <v>Porting</v>
      </c>
      <c r="M300" s="1" t="str">
        <f>VLOOKUP(Y300,[1]License_Method_ID!$A$2:$B$13,2,FALSE)</f>
        <v>no technical license protection</v>
      </c>
      <c r="N300" s="1" t="s">
        <v>88</v>
      </c>
      <c r="O300" s="1">
        <v>10</v>
      </c>
      <c r="Q300" s="1" t="str">
        <f>VLOOKUP(AB300,[1]Operational_Profit_Type_ID!$A$2:$B$3,2,FALSE)</f>
        <v>Calculated</v>
      </c>
      <c r="R300" s="1" t="s">
        <v>55</v>
      </c>
      <c r="T300" s="1" t="str">
        <f>VLOOKUP(AD300,[1]UpdateRightID!$A$2:$B$4,2,FALSE)</f>
        <v>none</v>
      </c>
      <c r="U300" s="1" t="s">
        <v>48</v>
      </c>
      <c r="Y300" s="1">
        <v>0</v>
      </c>
      <c r="AB300" s="1">
        <v>2</v>
      </c>
      <c r="AD300" s="1">
        <v>0</v>
      </c>
      <c r="AE300" s="1">
        <v>4</v>
      </c>
    </row>
    <row r="301" spans="1:31" ht="75">
      <c r="B301" s="1" t="s">
        <v>822</v>
      </c>
      <c r="C301" t="s">
        <v>823</v>
      </c>
      <c r="D301" s="1" t="s">
        <v>824</v>
      </c>
      <c r="E301" s="1" t="e">
        <f>VLOOKUP(Z301,[1]LicenseDuration_ID!$A$2:$B$8,2,FALSE)</f>
        <v>#N/A</v>
      </c>
      <c r="F301" s="1" t="e">
        <f>VLOOKUP(AA301,[1]MaintenanceDuration_ID!$A$2:$B$5,2,FALSE)</f>
        <v>#N/A</v>
      </c>
      <c r="G301" s="1" t="e">
        <f>VLOOKUP(V301,[1]ExpectedDeliveryTime_ID!$A$2:$B$12,2,FALSE)</f>
        <v>#N/A</v>
      </c>
      <c r="H301" s="1" t="e">
        <f>VLOOKUP(AC301,[1]PaymentModel_ID!$A$2:$B$7,2,FALSE)</f>
        <v>#N/A</v>
      </c>
      <c r="I301" s="1" t="e">
        <f>VLOOKUP(W301,[1]ExpectedInvoiceDate_ID!$A$2:$B$12,2,FALSE)</f>
        <v>#N/A</v>
      </c>
      <c r="J301" s="1" t="e">
        <f>VLOOKUP(X301,[1]GrantOfRights_ID!$A$2:$B$7,2,FALSE)</f>
        <v>#N/A</v>
      </c>
      <c r="K301" s="1" t="str">
        <f>VLOOKUP(AE301,[1]Profile!$A$2:$B$8,2,FALSE)</f>
        <v>Product related service without profile</v>
      </c>
      <c r="M301" s="1" t="str">
        <f>VLOOKUP(Y301,[1]License_Method_ID!$A$2:$B$13,2,FALSE)</f>
        <v>no technical license protection</v>
      </c>
      <c r="N301" s="1" t="s">
        <v>88</v>
      </c>
      <c r="O301" s="1">
        <v>10</v>
      </c>
      <c r="Q301" s="1" t="str">
        <f>VLOOKUP(AB301,[1]Operational_Profit_Type_ID!$A$2:$B$3,2,FALSE)</f>
        <v>Calculated</v>
      </c>
      <c r="R301" s="1" t="s">
        <v>55</v>
      </c>
      <c r="T301" s="1" t="str">
        <f>VLOOKUP(AD301,[1]UpdateRightID!$A$2:$B$4,2,FALSE)</f>
        <v>none</v>
      </c>
      <c r="U301" s="1" t="s">
        <v>48</v>
      </c>
      <c r="Y301" s="1">
        <v>0</v>
      </c>
      <c r="AB301" s="1">
        <v>2</v>
      </c>
      <c r="AD301" s="1">
        <v>0</v>
      </c>
      <c r="AE301" s="1">
        <v>0</v>
      </c>
    </row>
    <row r="302" spans="1:31" ht="60">
      <c r="B302" s="1" t="s">
        <v>825</v>
      </c>
      <c r="C302" t="s">
        <v>826</v>
      </c>
      <c r="D302" s="1" t="s">
        <v>827</v>
      </c>
      <c r="E302" s="1" t="e">
        <f>VLOOKUP(Z302,[1]LicenseDuration_ID!$A$2:$B$8,2,FALSE)</f>
        <v>#N/A</v>
      </c>
      <c r="F302" s="1" t="e">
        <f>VLOOKUP(AA302,[1]MaintenanceDuration_ID!$A$2:$B$5,2,FALSE)</f>
        <v>#N/A</v>
      </c>
      <c r="G302" s="1" t="e">
        <f>VLOOKUP(V302,[1]ExpectedDeliveryTime_ID!$A$2:$B$12,2,FALSE)</f>
        <v>#N/A</v>
      </c>
      <c r="H302" s="1" t="e">
        <f>VLOOKUP(AC302,[1]PaymentModel_ID!$A$2:$B$7,2,FALSE)</f>
        <v>#N/A</v>
      </c>
      <c r="I302" s="1" t="e">
        <f>VLOOKUP(W302,[1]ExpectedInvoiceDate_ID!$A$2:$B$12,2,FALSE)</f>
        <v>#N/A</v>
      </c>
      <c r="J302" s="1" t="e">
        <f>VLOOKUP(X302,[1]GrantOfRights_ID!$A$2:$B$7,2,FALSE)</f>
        <v>#N/A</v>
      </c>
      <c r="K302" s="1" t="str">
        <f>VLOOKUP(AE302,[1]Profile!$A$2:$B$8,2,FALSE)</f>
        <v>Integration Package</v>
      </c>
      <c r="M302" s="1" t="str">
        <f>VLOOKUP(Y302,[1]License_Method_ID!$A$2:$B$13,2,FALSE)</f>
        <v>no technical license protection</v>
      </c>
      <c r="N302" s="1" t="s">
        <v>88</v>
      </c>
      <c r="O302" s="1">
        <v>10</v>
      </c>
      <c r="Q302" s="1" t="str">
        <f>VLOOKUP(AB302,[1]Operational_Profit_Type_ID!$A$2:$B$3,2,FALSE)</f>
        <v>Calculated</v>
      </c>
      <c r="R302" s="1" t="s">
        <v>55</v>
      </c>
      <c r="T302" s="1" t="str">
        <f>VLOOKUP(AD302,[1]UpdateRightID!$A$2:$B$4,2,FALSE)</f>
        <v>none</v>
      </c>
      <c r="U302" s="1" t="s">
        <v>48</v>
      </c>
      <c r="Y302" s="1">
        <v>0</v>
      </c>
      <c r="AB302" s="1">
        <v>2</v>
      </c>
      <c r="AD302" s="1">
        <v>0</v>
      </c>
      <c r="AE302" s="1">
        <v>2</v>
      </c>
    </row>
    <row r="303" spans="1:31" ht="45">
      <c r="B303" s="1" t="s">
        <v>828</v>
      </c>
      <c r="C303" t="s">
        <v>829</v>
      </c>
      <c r="D303" s="1" t="s">
        <v>830</v>
      </c>
      <c r="E303" s="1" t="e">
        <f>VLOOKUP(Z303,[1]LicenseDuration_ID!$A$2:$B$8,2,FALSE)</f>
        <v>#N/A</v>
      </c>
      <c r="F303" s="1" t="e">
        <f>VLOOKUP(AA303,[1]MaintenanceDuration_ID!$A$2:$B$5,2,FALSE)</f>
        <v>#N/A</v>
      </c>
      <c r="G303" s="1" t="e">
        <f>VLOOKUP(V303,[1]ExpectedDeliveryTime_ID!$A$2:$B$12,2,FALSE)</f>
        <v>#N/A</v>
      </c>
      <c r="H303" s="1" t="e">
        <f>VLOOKUP(AC303,[1]PaymentModel_ID!$A$2:$B$7,2,FALSE)</f>
        <v>#N/A</v>
      </c>
      <c r="I303" s="1" t="e">
        <f>VLOOKUP(W303,[1]ExpectedInvoiceDate_ID!$A$2:$B$12,2,FALSE)</f>
        <v>#N/A</v>
      </c>
      <c r="J303" s="1" t="e">
        <f>VLOOKUP(X303,[1]GrantOfRights_ID!$A$2:$B$7,2,FALSE)</f>
        <v>#N/A</v>
      </c>
      <c r="K303" s="1" t="str">
        <f>VLOOKUP(AE303,[1]Profile!$A$2:$B$8,2,FALSE)</f>
        <v>Porting</v>
      </c>
      <c r="M303" s="1" t="str">
        <f>VLOOKUP(Y303,[1]License_Method_ID!$A$2:$B$13,2,FALSE)</f>
        <v>no technical license protection</v>
      </c>
      <c r="N303" s="1" t="s">
        <v>88</v>
      </c>
      <c r="O303" s="1">
        <v>10</v>
      </c>
      <c r="Q303" s="1" t="str">
        <f>VLOOKUP(AB303,[1]Operational_Profit_Type_ID!$A$2:$B$3,2,FALSE)</f>
        <v>Calculated</v>
      </c>
      <c r="R303" s="1" t="s">
        <v>55</v>
      </c>
      <c r="T303" s="1" t="str">
        <f>VLOOKUP(AD303,[1]UpdateRightID!$A$2:$B$4,2,FALSE)</f>
        <v>none</v>
      </c>
      <c r="U303" s="1" t="s">
        <v>48</v>
      </c>
      <c r="Y303" s="1">
        <v>0</v>
      </c>
      <c r="AB303" s="1">
        <v>2</v>
      </c>
      <c r="AD303" s="1">
        <v>0</v>
      </c>
      <c r="AE303" s="1">
        <v>4</v>
      </c>
    </row>
    <row r="304" spans="1:31" ht="45">
      <c r="B304" s="1" t="s">
        <v>831</v>
      </c>
      <c r="C304" t="s">
        <v>832</v>
      </c>
      <c r="D304" s="1" t="s">
        <v>833</v>
      </c>
      <c r="E304" s="1" t="e">
        <f>VLOOKUP(Z304,[1]LicenseDuration_ID!$A$2:$B$8,2,FALSE)</f>
        <v>#N/A</v>
      </c>
      <c r="F304" s="1" t="e">
        <f>VLOOKUP(AA304,[1]MaintenanceDuration_ID!$A$2:$B$5,2,FALSE)</f>
        <v>#N/A</v>
      </c>
      <c r="G304" s="1" t="e">
        <f>VLOOKUP(V304,[1]ExpectedDeliveryTime_ID!$A$2:$B$12,2,FALSE)</f>
        <v>#N/A</v>
      </c>
      <c r="H304" s="1" t="e">
        <f>VLOOKUP(AC304,[1]PaymentModel_ID!$A$2:$B$7,2,FALSE)</f>
        <v>#N/A</v>
      </c>
      <c r="I304" s="1" t="e">
        <f>VLOOKUP(W304,[1]ExpectedInvoiceDate_ID!$A$2:$B$12,2,FALSE)</f>
        <v>#N/A</v>
      </c>
      <c r="J304" s="1" t="e">
        <f>VLOOKUP(X304,[1]GrantOfRights_ID!$A$2:$B$7,2,FALSE)</f>
        <v>#N/A</v>
      </c>
      <c r="K304" s="1" t="str">
        <f>VLOOKUP(AE304,[1]Profile!$A$2:$B$8,2,FALSE)</f>
        <v>Porting</v>
      </c>
      <c r="M304" s="1" t="str">
        <f>VLOOKUP(Y304,[1]License_Method_ID!$A$2:$B$13,2,FALSE)</f>
        <v>no technical license protection</v>
      </c>
      <c r="N304" s="1" t="s">
        <v>88</v>
      </c>
      <c r="O304" s="1">
        <v>10</v>
      </c>
      <c r="Q304" s="1" t="str">
        <f>VLOOKUP(AB304,[1]Operational_Profit_Type_ID!$A$2:$B$3,2,FALSE)</f>
        <v>Calculated</v>
      </c>
      <c r="R304" s="1" t="s">
        <v>55</v>
      </c>
      <c r="T304" s="1" t="str">
        <f>VLOOKUP(AD304,[1]UpdateRightID!$A$2:$B$4,2,FALSE)</f>
        <v>none</v>
      </c>
      <c r="U304" s="1" t="s">
        <v>48</v>
      </c>
      <c r="Y304" s="1">
        <v>0</v>
      </c>
      <c r="AB304" s="1">
        <v>2</v>
      </c>
      <c r="AD304" s="1">
        <v>0</v>
      </c>
      <c r="AE304" s="1">
        <v>4</v>
      </c>
    </row>
    <row r="305" spans="1:31" ht="45">
      <c r="B305" s="1" t="s">
        <v>834</v>
      </c>
      <c r="C305" t="s">
        <v>835</v>
      </c>
      <c r="D305" s="1" t="s">
        <v>836</v>
      </c>
      <c r="E305" s="1" t="e">
        <f>VLOOKUP(Z305,[1]LicenseDuration_ID!$A$2:$B$8,2,FALSE)</f>
        <v>#N/A</v>
      </c>
      <c r="F305" s="1" t="e">
        <f>VLOOKUP(AA305,[1]MaintenanceDuration_ID!$A$2:$B$5,2,FALSE)</f>
        <v>#N/A</v>
      </c>
      <c r="G305" s="1" t="e">
        <f>VLOOKUP(V305,[1]ExpectedDeliveryTime_ID!$A$2:$B$12,2,FALSE)</f>
        <v>#N/A</v>
      </c>
      <c r="H305" s="1" t="e">
        <f>VLOOKUP(AC305,[1]PaymentModel_ID!$A$2:$B$7,2,FALSE)</f>
        <v>#N/A</v>
      </c>
      <c r="I305" s="1" t="e">
        <f>VLOOKUP(W305,[1]ExpectedInvoiceDate_ID!$A$2:$B$12,2,FALSE)</f>
        <v>#N/A</v>
      </c>
      <c r="J305" s="1" t="e">
        <f>VLOOKUP(X305,[1]GrantOfRights_ID!$A$2:$B$7,2,FALSE)</f>
        <v>#N/A</v>
      </c>
      <c r="K305" s="1" t="str">
        <f>VLOOKUP(AE305,[1]Profile!$A$2:$B$8,2,FALSE)</f>
        <v>Porting</v>
      </c>
      <c r="M305" s="1" t="str">
        <f>VLOOKUP(Y305,[1]License_Method_ID!$A$2:$B$13,2,FALSE)</f>
        <v>no technical license protection</v>
      </c>
      <c r="N305" s="1" t="s">
        <v>88</v>
      </c>
      <c r="O305" s="1">
        <v>10</v>
      </c>
      <c r="Q305" s="1" t="str">
        <f>VLOOKUP(AB305,[1]Operational_Profit_Type_ID!$A$2:$B$3,2,FALSE)</f>
        <v>Calculated</v>
      </c>
      <c r="R305" s="1" t="s">
        <v>55</v>
      </c>
      <c r="T305" s="1" t="str">
        <f>VLOOKUP(AD305,[1]UpdateRightID!$A$2:$B$4,2,FALSE)</f>
        <v>none</v>
      </c>
      <c r="U305" s="1" t="s">
        <v>48</v>
      </c>
      <c r="Y305" s="1">
        <v>0</v>
      </c>
      <c r="AB305" s="1">
        <v>2</v>
      </c>
      <c r="AD305" s="1">
        <v>0</v>
      </c>
      <c r="AE305" s="1">
        <v>4</v>
      </c>
    </row>
    <row r="306" spans="1:31" ht="60">
      <c r="B306" s="1" t="s">
        <v>837</v>
      </c>
      <c r="C306" t="s">
        <v>838</v>
      </c>
      <c r="D306" s="1" t="s">
        <v>839</v>
      </c>
      <c r="E306" s="1" t="e">
        <f>VLOOKUP(Z306,[1]LicenseDuration_ID!$A$2:$B$8,2,FALSE)</f>
        <v>#N/A</v>
      </c>
      <c r="F306" s="1" t="e">
        <f>VLOOKUP(AA306,[1]MaintenanceDuration_ID!$A$2:$B$5,2,FALSE)</f>
        <v>#N/A</v>
      </c>
      <c r="G306" s="1" t="e">
        <f>VLOOKUP(V306,[1]ExpectedDeliveryTime_ID!$A$2:$B$12,2,FALSE)</f>
        <v>#N/A</v>
      </c>
      <c r="H306" s="1" t="e">
        <f>VLOOKUP(AC306,[1]PaymentModel_ID!$A$2:$B$7,2,FALSE)</f>
        <v>#N/A</v>
      </c>
      <c r="I306" s="1" t="e">
        <f>VLOOKUP(W306,[1]ExpectedInvoiceDate_ID!$A$2:$B$12,2,FALSE)</f>
        <v>#N/A</v>
      </c>
      <c r="J306" s="1" t="e">
        <f>VLOOKUP(X306,[1]GrantOfRights_ID!$A$2:$B$7,2,FALSE)</f>
        <v>#N/A</v>
      </c>
      <c r="K306" s="1" t="str">
        <f>VLOOKUP(AE306,[1]Profile!$A$2:$B$8,2,FALSE)</f>
        <v>Porting</v>
      </c>
      <c r="M306" s="1" t="str">
        <f>VLOOKUP(Y306,[1]License_Method_ID!$A$2:$B$13,2,FALSE)</f>
        <v>no technical license protection</v>
      </c>
      <c r="N306" s="1" t="s">
        <v>88</v>
      </c>
      <c r="O306" s="1">
        <v>10</v>
      </c>
      <c r="Q306" s="1" t="str">
        <f>VLOOKUP(AB306,[1]Operational_Profit_Type_ID!$A$2:$B$3,2,FALSE)</f>
        <v>Calculated</v>
      </c>
      <c r="R306" s="1" t="s">
        <v>55</v>
      </c>
      <c r="T306" s="1" t="str">
        <f>VLOOKUP(AD306,[1]UpdateRightID!$A$2:$B$4,2,FALSE)</f>
        <v>none</v>
      </c>
      <c r="U306" s="1" t="s">
        <v>48</v>
      </c>
      <c r="Y306" s="1">
        <v>0</v>
      </c>
      <c r="AB306" s="1">
        <v>2</v>
      </c>
      <c r="AD306" s="1">
        <v>0</v>
      </c>
      <c r="AE306" s="1">
        <v>4</v>
      </c>
    </row>
    <row r="307" spans="1:31" ht="409.5">
      <c r="B307" s="1" t="s">
        <v>840</v>
      </c>
      <c r="C307" t="s">
        <v>841</v>
      </c>
      <c r="D307" s="1" t="s">
        <v>842</v>
      </c>
      <c r="E307" s="1" t="e">
        <f>VLOOKUP(Z307,[1]LicenseDuration_ID!$A$2:$B$8,2,FALSE)</f>
        <v>#N/A</v>
      </c>
      <c r="F307" s="1" t="e">
        <f>VLOOKUP(AA307,[1]MaintenanceDuration_ID!$A$2:$B$5,2,FALSE)</f>
        <v>#N/A</v>
      </c>
      <c r="G307" s="1" t="e">
        <f>VLOOKUP(V307,[1]ExpectedDeliveryTime_ID!$A$2:$B$12,2,FALSE)</f>
        <v>#N/A</v>
      </c>
      <c r="H307" s="1" t="e">
        <f>VLOOKUP(AC307,[1]PaymentModel_ID!$A$2:$B$7,2,FALSE)</f>
        <v>#N/A</v>
      </c>
      <c r="I307" s="1" t="e">
        <f>VLOOKUP(W307,[1]ExpectedInvoiceDate_ID!$A$2:$B$12,2,FALSE)</f>
        <v>#N/A</v>
      </c>
      <c r="J307" s="1" t="e">
        <f>VLOOKUP(X307,[1]GrantOfRights_ID!$A$2:$B$7,2,FALSE)</f>
        <v>#N/A</v>
      </c>
      <c r="K307" s="1" t="str">
        <f>VLOOKUP(AE307,[1]Profile!$A$2:$B$8,2,FALSE)</f>
        <v>License</v>
      </c>
      <c r="M307" s="1" t="str">
        <f>VLOOKUP(Y307,[1]License_Method_ID!$A$2:$B$13,2,FALSE)</f>
        <v>no technical license protection</v>
      </c>
      <c r="O307" s="1">
        <v>10</v>
      </c>
      <c r="P307" s="1">
        <v>50</v>
      </c>
      <c r="Q307" s="1" t="str">
        <f>VLOOKUP(AB307,[1]Operational_Profit_Type_ID!$A$2:$B$3,2,FALSE)</f>
        <v>Fix rate</v>
      </c>
      <c r="R307" s="1" t="s">
        <v>55</v>
      </c>
      <c r="T307" s="1" t="str">
        <f>VLOOKUP(AD307,[1]UpdateRightID!$A$2:$B$4,2,FALSE)</f>
        <v>none</v>
      </c>
      <c r="U307" s="1" t="s">
        <v>48</v>
      </c>
      <c r="Y307" s="1">
        <v>0</v>
      </c>
      <c r="AB307" s="1">
        <v>1</v>
      </c>
      <c r="AD307" s="1">
        <v>0</v>
      </c>
      <c r="AE307" s="1">
        <v>1</v>
      </c>
    </row>
    <row r="308" spans="1:31" ht="270">
      <c r="B308" s="1" t="s">
        <v>843</v>
      </c>
      <c r="C308" t="s">
        <v>844</v>
      </c>
      <c r="D308" s="1" t="s">
        <v>314</v>
      </c>
      <c r="E308" s="1" t="e">
        <f>VLOOKUP(Z308,[1]LicenseDuration_ID!$A$2:$B$8,2,FALSE)</f>
        <v>#N/A</v>
      </c>
      <c r="F308" s="1" t="e">
        <f>VLOOKUP(AA308,[1]MaintenanceDuration_ID!$A$2:$B$5,2,FALSE)</f>
        <v>#N/A</v>
      </c>
      <c r="G308" s="1" t="e">
        <f>VLOOKUP(V308,[1]ExpectedDeliveryTime_ID!$A$2:$B$12,2,FALSE)</f>
        <v>#N/A</v>
      </c>
      <c r="H308" s="1" t="e">
        <f>VLOOKUP(AC308,[1]PaymentModel_ID!$A$2:$B$7,2,FALSE)</f>
        <v>#N/A</v>
      </c>
      <c r="I308" s="1" t="e">
        <f>VLOOKUP(W308,[1]ExpectedInvoiceDate_ID!$A$2:$B$12,2,FALSE)</f>
        <v>#N/A</v>
      </c>
      <c r="J308" s="1" t="e">
        <f>VLOOKUP(X308,[1]GrantOfRights_ID!$A$2:$B$7,2,FALSE)</f>
        <v>#N/A</v>
      </c>
      <c r="K308" s="1" t="str">
        <f>VLOOKUP(AE308,[1]Profile!$A$2:$B$8,2,FALSE)</f>
        <v>License</v>
      </c>
      <c r="M308" s="1" t="str">
        <f>VLOOKUP(Y308,[1]License_Method_ID!$A$2:$B$13,2,FALSE)</f>
        <v>no technical license protection</v>
      </c>
      <c r="O308" s="1">
        <v>10</v>
      </c>
      <c r="P308" s="1">
        <v>50</v>
      </c>
      <c r="Q308" s="1" t="str">
        <f>VLOOKUP(AB308,[1]Operational_Profit_Type_ID!$A$2:$B$3,2,FALSE)</f>
        <v>Fix rate</v>
      </c>
      <c r="R308" s="1" t="s">
        <v>55</v>
      </c>
      <c r="T308" s="1" t="str">
        <f>VLOOKUP(AD308,[1]UpdateRightID!$A$2:$B$4,2,FALSE)</f>
        <v>none</v>
      </c>
      <c r="U308" s="1" t="s">
        <v>48</v>
      </c>
      <c r="Y308" s="1">
        <v>0</v>
      </c>
      <c r="AB308" s="1">
        <v>1</v>
      </c>
      <c r="AD308" s="1">
        <v>0</v>
      </c>
      <c r="AE308" s="1">
        <v>1</v>
      </c>
    </row>
    <row r="309" spans="1:31" ht="409.5">
      <c r="B309" s="1" t="s">
        <v>845</v>
      </c>
      <c r="C309" t="s">
        <v>846</v>
      </c>
      <c r="D309" s="1" t="s">
        <v>847</v>
      </c>
      <c r="E309" s="1" t="e">
        <f>VLOOKUP(Z309,[1]LicenseDuration_ID!$A$2:$B$8,2,FALSE)</f>
        <v>#N/A</v>
      </c>
      <c r="F309" s="1" t="e">
        <f>VLOOKUP(AA309,[1]MaintenanceDuration_ID!$A$2:$B$5,2,FALSE)</f>
        <v>#N/A</v>
      </c>
      <c r="G309" s="1" t="e">
        <f>VLOOKUP(V309,[1]ExpectedDeliveryTime_ID!$A$2:$B$12,2,FALSE)</f>
        <v>#N/A</v>
      </c>
      <c r="H309" s="1" t="e">
        <f>VLOOKUP(AC309,[1]PaymentModel_ID!$A$2:$B$7,2,FALSE)</f>
        <v>#N/A</v>
      </c>
      <c r="I309" s="1" t="e">
        <f>VLOOKUP(W309,[1]ExpectedInvoiceDate_ID!$A$2:$B$12,2,FALSE)</f>
        <v>#N/A</v>
      </c>
      <c r="J309" s="1" t="e">
        <f>VLOOKUP(X309,[1]GrantOfRights_ID!$A$2:$B$7,2,FALSE)</f>
        <v>#N/A</v>
      </c>
      <c r="K309" s="1" t="str">
        <f>VLOOKUP(AE309,[1]Profile!$A$2:$B$8,2,FALSE)</f>
        <v>License</v>
      </c>
      <c r="M309" s="1" t="str">
        <f>VLOOKUP(Y309,[1]License_Method_ID!$A$2:$B$13,2,FALSE)</f>
        <v>no technical license protection</v>
      </c>
      <c r="O309" s="1">
        <v>10</v>
      </c>
      <c r="P309" s="1">
        <v>50</v>
      </c>
      <c r="Q309" s="1" t="str">
        <f>VLOOKUP(AB309,[1]Operational_Profit_Type_ID!$A$2:$B$3,2,FALSE)</f>
        <v>Fix rate</v>
      </c>
      <c r="R309" s="1" t="s">
        <v>55</v>
      </c>
      <c r="T309" s="1" t="str">
        <f>VLOOKUP(AD309,[1]UpdateRightID!$A$2:$B$4,2,FALSE)</f>
        <v>none</v>
      </c>
      <c r="U309" s="1" t="s">
        <v>48</v>
      </c>
      <c r="Y309" s="1">
        <v>0</v>
      </c>
      <c r="AB309" s="1">
        <v>1</v>
      </c>
      <c r="AD309" s="1">
        <v>0</v>
      </c>
      <c r="AE309" s="1">
        <v>1</v>
      </c>
    </row>
    <row r="310" spans="1:31" ht="180">
      <c r="A310" s="1" t="s">
        <v>43</v>
      </c>
      <c r="B310" s="1" t="s">
        <v>848</v>
      </c>
      <c r="C310" t="s">
        <v>849</v>
      </c>
      <c r="D310" s="1" t="s">
        <v>850</v>
      </c>
      <c r="E310" s="1" t="str">
        <f>VLOOKUP(Z310,[1]LicenseDuration_ID!$A$2:$B$8,2,FALSE)</f>
        <v>n/a</v>
      </c>
      <c r="F310" s="1" t="str">
        <f>VLOOKUP(AA310,[1]MaintenanceDuration_ID!$A$2:$B$5,2,FALSE)</f>
        <v>12 months</v>
      </c>
      <c r="G310" s="1" t="str">
        <f>VLOOKUP(V310,[1]ExpectedDeliveryTime_ID!$A$2:$B$12,2,FALSE)</f>
        <v>n/a</v>
      </c>
      <c r="H310" s="1" t="str">
        <f>VLOOKUP(AC310,[1]PaymentModel_ID!$A$2:$B$7,2,FALSE)</f>
        <v>Annual payment</v>
      </c>
      <c r="I310" s="1" t="str">
        <f>VLOOKUP(W310,[1]ExpectedInvoiceDate_ID!$A$2:$B$12,2,FALSE)</f>
        <v>Anually at the beginning of the extended period</v>
      </c>
      <c r="J310" s="1" t="str">
        <f>VLOOKUP(X310,[1]GrantOfRights_ID!$A$2:$B$7,2,FALSE)</f>
        <v>n/a</v>
      </c>
      <c r="K310" s="1" t="str">
        <f>VLOOKUP(AE310,[1]Profile!$A$2:$B$8,2,FALSE)</f>
        <v>License</v>
      </c>
      <c r="M310" s="1" t="str">
        <f>VLOOKUP(Y310,[1]License_Method_ID!$A$2:$B$13,2,FALSE)</f>
        <v>no technical license protection</v>
      </c>
      <c r="N310" s="1" t="s">
        <v>47</v>
      </c>
      <c r="O310" s="1">
        <v>10</v>
      </c>
      <c r="P310" s="1">
        <v>50</v>
      </c>
      <c r="Q310" s="1" t="str">
        <f>VLOOKUP(AB310,[1]Operational_Profit_Type_ID!$A$2:$B$3,2,FALSE)</f>
        <v>Fix rate</v>
      </c>
      <c r="R310" s="1" t="s">
        <v>55</v>
      </c>
      <c r="T310" s="1" t="str">
        <f>VLOOKUP(AD310,[1]UpdateRightID!$A$2:$B$4,2,FALSE)</f>
        <v>TotalAmountAsUpdateRight</v>
      </c>
      <c r="U310" s="1" t="s">
        <v>48</v>
      </c>
      <c r="V310" s="1">
        <v>1</v>
      </c>
      <c r="W310" s="1">
        <v>2</v>
      </c>
      <c r="X310" s="1">
        <v>1</v>
      </c>
      <c r="Y310" s="1">
        <v>0</v>
      </c>
      <c r="Z310" s="1">
        <v>1</v>
      </c>
      <c r="AA310" s="1">
        <v>3</v>
      </c>
      <c r="AB310" s="1">
        <v>1</v>
      </c>
      <c r="AC310" s="1">
        <v>3</v>
      </c>
      <c r="AD310" s="1">
        <v>2</v>
      </c>
      <c r="AE310" s="1">
        <v>1</v>
      </c>
    </row>
    <row r="311" spans="1:31" ht="409.5">
      <c r="B311" s="1" t="s">
        <v>851</v>
      </c>
      <c r="C311" t="s">
        <v>852</v>
      </c>
      <c r="D311" s="1" t="s">
        <v>853</v>
      </c>
      <c r="E311" s="1" t="e">
        <f>VLOOKUP(Z311,[1]LicenseDuration_ID!$A$2:$B$8,2,FALSE)</f>
        <v>#N/A</v>
      </c>
      <c r="F311" s="1" t="e">
        <f>VLOOKUP(AA311,[1]MaintenanceDuration_ID!$A$2:$B$5,2,FALSE)</f>
        <v>#N/A</v>
      </c>
      <c r="G311" s="1" t="e">
        <f>VLOOKUP(V311,[1]ExpectedDeliveryTime_ID!$A$2:$B$12,2,FALSE)</f>
        <v>#N/A</v>
      </c>
      <c r="H311" s="1" t="e">
        <f>VLOOKUP(AC311,[1]PaymentModel_ID!$A$2:$B$7,2,FALSE)</f>
        <v>#N/A</v>
      </c>
      <c r="I311" s="1" t="e">
        <f>VLOOKUP(W311,[1]ExpectedInvoiceDate_ID!$A$2:$B$12,2,FALSE)</f>
        <v>#N/A</v>
      </c>
      <c r="J311" s="1" t="e">
        <f>VLOOKUP(X311,[1]GrantOfRights_ID!$A$2:$B$7,2,FALSE)</f>
        <v>#N/A</v>
      </c>
      <c r="K311" s="1" t="str">
        <f>VLOOKUP(AE311,[1]Profile!$A$2:$B$8,2,FALSE)</f>
        <v>License</v>
      </c>
      <c r="M311" s="1" t="str">
        <f>VLOOKUP(Y311,[1]License_Method_ID!$A$2:$B$13,2,FALSE)</f>
        <v>no technical license protection</v>
      </c>
      <c r="N311" s="1" t="s">
        <v>47</v>
      </c>
      <c r="O311" s="1">
        <v>10</v>
      </c>
      <c r="P311" s="1">
        <v>50</v>
      </c>
      <c r="Q311" s="1" t="str">
        <f>VLOOKUP(AB311,[1]Operational_Profit_Type_ID!$A$2:$B$3,2,FALSE)</f>
        <v>Fix rate</v>
      </c>
      <c r="R311" s="1" t="s">
        <v>55</v>
      </c>
      <c r="T311" s="1" t="str">
        <f>VLOOKUP(AD311,[1]UpdateRightID!$A$2:$B$4,2,FALSE)</f>
        <v>TotalAmountAsUpdateRight</v>
      </c>
      <c r="U311" s="1" t="s">
        <v>48</v>
      </c>
      <c r="Y311" s="1">
        <v>0</v>
      </c>
      <c r="AB311" s="1">
        <v>1</v>
      </c>
      <c r="AD311" s="1">
        <v>2</v>
      </c>
      <c r="AE311" s="1">
        <v>1</v>
      </c>
    </row>
    <row r="312" spans="1:31" ht="120">
      <c r="B312" s="1" t="s">
        <v>854</v>
      </c>
      <c r="C312" t="s">
        <v>855</v>
      </c>
      <c r="D312" s="1" t="s">
        <v>856</v>
      </c>
      <c r="E312" s="1" t="e">
        <f>VLOOKUP(Z312,[1]LicenseDuration_ID!$A$2:$B$8,2,FALSE)</f>
        <v>#N/A</v>
      </c>
      <c r="F312" s="1" t="e">
        <f>VLOOKUP(AA312,[1]MaintenanceDuration_ID!$A$2:$B$5,2,FALSE)</f>
        <v>#N/A</v>
      </c>
      <c r="G312" s="1" t="e">
        <f>VLOOKUP(V312,[1]ExpectedDeliveryTime_ID!$A$2:$B$12,2,FALSE)</f>
        <v>#N/A</v>
      </c>
      <c r="H312" s="1" t="e">
        <f>VLOOKUP(AC312,[1]PaymentModel_ID!$A$2:$B$7,2,FALSE)</f>
        <v>#N/A</v>
      </c>
      <c r="I312" s="1" t="e">
        <f>VLOOKUP(W312,[1]ExpectedInvoiceDate_ID!$A$2:$B$12,2,FALSE)</f>
        <v>#N/A</v>
      </c>
      <c r="J312" s="1" t="e">
        <f>VLOOKUP(X312,[1]GrantOfRights_ID!$A$2:$B$7,2,FALSE)</f>
        <v>#N/A</v>
      </c>
      <c r="K312" s="1" t="str">
        <f>VLOOKUP(AE312,[1]Profile!$A$2:$B$8,2,FALSE)</f>
        <v>Qualification Package</v>
      </c>
      <c r="M312" s="1" t="str">
        <f>VLOOKUP(Y312,[1]License_Method_ID!$A$2:$B$13,2,FALSE)</f>
        <v>no technical license protection</v>
      </c>
      <c r="N312" s="1" t="s">
        <v>88</v>
      </c>
      <c r="O312" s="1">
        <v>10</v>
      </c>
      <c r="Q312" s="1" t="str">
        <f>VLOOKUP(AB312,[1]Operational_Profit_Type_ID!$A$2:$B$3,2,FALSE)</f>
        <v>Calculated</v>
      </c>
      <c r="R312" s="1" t="s">
        <v>55</v>
      </c>
      <c r="T312" s="1" t="str">
        <f>VLOOKUP(AD312,[1]UpdateRightID!$A$2:$B$4,2,FALSE)</f>
        <v>none</v>
      </c>
      <c r="U312" s="1" t="s">
        <v>48</v>
      </c>
      <c r="Y312" s="1">
        <v>0</v>
      </c>
      <c r="AB312" s="1">
        <v>2</v>
      </c>
      <c r="AD312" s="1">
        <v>0</v>
      </c>
      <c r="AE312" s="1">
        <v>3</v>
      </c>
    </row>
    <row r="313" spans="1:31" ht="45">
      <c r="A313" s="1" t="s">
        <v>43</v>
      </c>
      <c r="B313" s="1" t="s">
        <v>857</v>
      </c>
      <c r="C313" t="s">
        <v>858</v>
      </c>
      <c r="D313" s="1" t="s">
        <v>859</v>
      </c>
      <c r="E313" s="1" t="str">
        <f>VLOOKUP(Z313,[1]LicenseDuration_ID!$A$2:$B$8,2,FALSE)</f>
        <v>n/a</v>
      </c>
      <c r="F313" s="1" t="str">
        <f>VLOOKUP(AA313,[1]MaintenanceDuration_ID!$A$2:$B$5,2,FALSE)</f>
        <v>n/a</v>
      </c>
      <c r="G313" s="1" t="str">
        <f>VLOOKUP(V313,[1]ExpectedDeliveryTime_ID!$A$2:$B$12,2,FALSE)</f>
        <v>n/a</v>
      </c>
      <c r="H313" s="1" t="str">
        <f>VLOOKUP(AC313,[1]PaymentModel_ID!$A$2:$B$7,2,FALSE)</f>
        <v>One-time payment</v>
      </c>
      <c r="I313" s="1" t="str">
        <f>VLOOKUP(W313,[1]ExpectedInvoiceDate_ID!$A$2:$B$12,2,FALSE)</f>
        <v>With FINAL DELIVERY</v>
      </c>
      <c r="J313" s="1" t="str">
        <f>VLOOKUP(X313,[1]GrantOfRights_ID!$A$2:$B$7,2,FALSE)</f>
        <v>n/a</v>
      </c>
      <c r="K313" s="1" t="str">
        <f>VLOOKUP(AE313,[1]Profile!$A$2:$B$8,2,FALSE)</f>
        <v>Porting</v>
      </c>
      <c r="M313" s="1" t="str">
        <f>VLOOKUP(Y313,[1]License_Method_ID!$A$2:$B$13,2,FALSE)</f>
        <v>no technical license protection</v>
      </c>
      <c r="N313" s="1" t="s">
        <v>88</v>
      </c>
      <c r="O313" s="1">
        <v>10</v>
      </c>
      <c r="Q313" s="1" t="str">
        <f>VLOOKUP(AB313,[1]Operational_Profit_Type_ID!$A$2:$B$3,2,FALSE)</f>
        <v>Calculated</v>
      </c>
      <c r="R313" s="1" t="s">
        <v>55</v>
      </c>
      <c r="T313" s="1" t="str">
        <f>VLOOKUP(AD313,[1]UpdateRightID!$A$2:$B$4,2,FALSE)</f>
        <v>none</v>
      </c>
      <c r="U313" s="1" t="s">
        <v>48</v>
      </c>
      <c r="V313" s="1">
        <v>1</v>
      </c>
      <c r="W313" s="1">
        <v>7</v>
      </c>
      <c r="X313" s="1">
        <v>1</v>
      </c>
      <c r="Y313" s="1">
        <v>0</v>
      </c>
      <c r="Z313" s="1">
        <v>1</v>
      </c>
      <c r="AA313" s="1">
        <v>1</v>
      </c>
      <c r="AB313" s="1">
        <v>2</v>
      </c>
      <c r="AC313" s="1">
        <v>2</v>
      </c>
      <c r="AD313" s="1">
        <v>0</v>
      </c>
      <c r="AE313" s="1">
        <v>4</v>
      </c>
    </row>
    <row r="314" spans="1:31" ht="45">
      <c r="B314" s="1" t="s">
        <v>860</v>
      </c>
      <c r="C314" t="s">
        <v>861</v>
      </c>
      <c r="D314" s="1" t="s">
        <v>862</v>
      </c>
      <c r="E314" s="1" t="e">
        <f>VLOOKUP(Z314,[1]LicenseDuration_ID!$A$2:$B$8,2,FALSE)</f>
        <v>#N/A</v>
      </c>
      <c r="F314" s="1" t="e">
        <f>VLOOKUP(AA314,[1]MaintenanceDuration_ID!$A$2:$B$5,2,FALSE)</f>
        <v>#N/A</v>
      </c>
      <c r="G314" s="1" t="e">
        <f>VLOOKUP(V314,[1]ExpectedDeliveryTime_ID!$A$2:$B$12,2,FALSE)</f>
        <v>#N/A</v>
      </c>
      <c r="H314" s="1" t="e">
        <f>VLOOKUP(AC314,[1]PaymentModel_ID!$A$2:$B$7,2,FALSE)</f>
        <v>#N/A</v>
      </c>
      <c r="I314" s="1" t="e">
        <f>VLOOKUP(W314,[1]ExpectedInvoiceDate_ID!$A$2:$B$12,2,FALSE)</f>
        <v>#N/A</v>
      </c>
      <c r="J314" s="1" t="e">
        <f>VLOOKUP(X314,[1]GrantOfRights_ID!$A$2:$B$7,2,FALSE)</f>
        <v>#N/A</v>
      </c>
      <c r="K314" s="1" t="str">
        <f>VLOOKUP(AE314,[1]Profile!$A$2:$B$8,2,FALSE)</f>
        <v>Porting</v>
      </c>
      <c r="M314" s="1" t="str">
        <f>VLOOKUP(Y314,[1]License_Method_ID!$A$2:$B$13,2,FALSE)</f>
        <v>no technical license protection</v>
      </c>
      <c r="N314" s="1" t="s">
        <v>88</v>
      </c>
      <c r="O314" s="1">
        <v>10</v>
      </c>
      <c r="Q314" s="1" t="str">
        <f>VLOOKUP(AB314,[1]Operational_Profit_Type_ID!$A$2:$B$3,2,FALSE)</f>
        <v>Calculated</v>
      </c>
      <c r="R314" s="1" t="s">
        <v>55</v>
      </c>
      <c r="T314" s="1" t="str">
        <f>VLOOKUP(AD314,[1]UpdateRightID!$A$2:$B$4,2,FALSE)</f>
        <v>none</v>
      </c>
      <c r="U314" s="1" t="s">
        <v>48</v>
      </c>
      <c r="Y314" s="1">
        <v>0</v>
      </c>
      <c r="AB314" s="1">
        <v>2</v>
      </c>
      <c r="AD314" s="1">
        <v>0</v>
      </c>
      <c r="AE314" s="1">
        <v>4</v>
      </c>
    </row>
    <row r="315" spans="1:31" ht="60">
      <c r="B315" s="1" t="s">
        <v>863</v>
      </c>
      <c r="C315" t="s">
        <v>864</v>
      </c>
      <c r="D315" s="1" t="s">
        <v>865</v>
      </c>
      <c r="E315" s="1" t="e">
        <f>VLOOKUP(Z315,[1]LicenseDuration_ID!$A$2:$B$8,2,FALSE)</f>
        <v>#N/A</v>
      </c>
      <c r="F315" s="1" t="e">
        <f>VLOOKUP(AA315,[1]MaintenanceDuration_ID!$A$2:$B$5,2,FALSE)</f>
        <v>#N/A</v>
      </c>
      <c r="G315" s="1" t="e">
        <f>VLOOKUP(V315,[1]ExpectedDeliveryTime_ID!$A$2:$B$12,2,FALSE)</f>
        <v>#N/A</v>
      </c>
      <c r="H315" s="1" t="e">
        <f>VLOOKUP(AC315,[1]PaymentModel_ID!$A$2:$B$7,2,FALSE)</f>
        <v>#N/A</v>
      </c>
      <c r="I315" s="1" t="e">
        <f>VLOOKUP(W315,[1]ExpectedInvoiceDate_ID!$A$2:$B$12,2,FALSE)</f>
        <v>#N/A</v>
      </c>
      <c r="J315" s="1" t="e">
        <f>VLOOKUP(X315,[1]GrantOfRights_ID!$A$2:$B$7,2,FALSE)</f>
        <v>#N/A</v>
      </c>
      <c r="K315" s="1" t="str">
        <f>VLOOKUP(AE315,[1]Profile!$A$2:$B$8,2,FALSE)</f>
        <v>Porting</v>
      </c>
      <c r="M315" s="1" t="str">
        <f>VLOOKUP(Y315,[1]License_Method_ID!$A$2:$B$13,2,FALSE)</f>
        <v>no technical license protection</v>
      </c>
      <c r="N315" s="1" t="s">
        <v>88</v>
      </c>
      <c r="O315" s="1">
        <v>10</v>
      </c>
      <c r="Q315" s="1" t="str">
        <f>VLOOKUP(AB315,[1]Operational_Profit_Type_ID!$A$2:$B$3,2,FALSE)</f>
        <v>Calculated</v>
      </c>
      <c r="R315" s="1" t="s">
        <v>55</v>
      </c>
      <c r="T315" s="1" t="str">
        <f>VLOOKUP(AD315,[1]UpdateRightID!$A$2:$B$4,2,FALSE)</f>
        <v>none</v>
      </c>
      <c r="U315" s="1" t="s">
        <v>48</v>
      </c>
      <c r="Y315" s="1">
        <v>0</v>
      </c>
      <c r="AB315" s="1">
        <v>2</v>
      </c>
      <c r="AD315" s="1">
        <v>0</v>
      </c>
      <c r="AE315" s="1">
        <v>4</v>
      </c>
    </row>
    <row r="316" spans="1:31" ht="45">
      <c r="B316" s="1" t="s">
        <v>866</v>
      </c>
      <c r="C316" t="s">
        <v>867</v>
      </c>
      <c r="D316" s="1" t="s">
        <v>868</v>
      </c>
      <c r="E316" s="1" t="e">
        <f>VLOOKUP(Z316,[1]LicenseDuration_ID!$A$2:$B$8,2,FALSE)</f>
        <v>#N/A</v>
      </c>
      <c r="F316" s="1" t="e">
        <f>VLOOKUP(AA316,[1]MaintenanceDuration_ID!$A$2:$B$5,2,FALSE)</f>
        <v>#N/A</v>
      </c>
      <c r="G316" s="1" t="e">
        <f>VLOOKUP(V316,[1]ExpectedDeliveryTime_ID!$A$2:$B$12,2,FALSE)</f>
        <v>#N/A</v>
      </c>
      <c r="H316" s="1" t="e">
        <f>VLOOKUP(AC316,[1]PaymentModel_ID!$A$2:$B$7,2,FALSE)</f>
        <v>#N/A</v>
      </c>
      <c r="I316" s="1" t="e">
        <f>VLOOKUP(W316,[1]ExpectedInvoiceDate_ID!$A$2:$B$12,2,FALSE)</f>
        <v>#N/A</v>
      </c>
      <c r="J316" s="1" t="e">
        <f>VLOOKUP(X316,[1]GrantOfRights_ID!$A$2:$B$7,2,FALSE)</f>
        <v>#N/A</v>
      </c>
      <c r="K316" s="1" t="str">
        <f>VLOOKUP(AE316,[1]Profile!$A$2:$B$8,2,FALSE)</f>
        <v>Porting</v>
      </c>
      <c r="M316" s="1" t="str">
        <f>VLOOKUP(Y316,[1]License_Method_ID!$A$2:$B$13,2,FALSE)</f>
        <v>no technical license protection</v>
      </c>
      <c r="N316" s="1" t="s">
        <v>88</v>
      </c>
      <c r="O316" s="1">
        <v>10</v>
      </c>
      <c r="Q316" s="1" t="str">
        <f>VLOOKUP(AB316,[1]Operational_Profit_Type_ID!$A$2:$B$3,2,FALSE)</f>
        <v>Calculated</v>
      </c>
      <c r="R316" s="1" t="s">
        <v>55</v>
      </c>
      <c r="T316" s="1" t="str">
        <f>VLOOKUP(AD316,[1]UpdateRightID!$A$2:$B$4,2,FALSE)</f>
        <v>none</v>
      </c>
      <c r="U316" s="1" t="s">
        <v>48</v>
      </c>
      <c r="Y316" s="1">
        <v>0</v>
      </c>
      <c r="AB316" s="1">
        <v>2</v>
      </c>
      <c r="AD316" s="1">
        <v>0</v>
      </c>
      <c r="AE316" s="1">
        <v>4</v>
      </c>
    </row>
    <row r="317" spans="1:31" ht="120">
      <c r="A317" s="1" t="s">
        <v>43</v>
      </c>
      <c r="B317" s="1" t="s">
        <v>869</v>
      </c>
      <c r="C317" t="s">
        <v>870</v>
      </c>
      <c r="D317" s="1" t="s">
        <v>871</v>
      </c>
      <c r="E317" s="1" t="str">
        <f>VLOOKUP(Z317,[1]LicenseDuration_ID!$A$2:$B$8,2,FALSE)</f>
        <v>n/a</v>
      </c>
      <c r="F317" s="1" t="str">
        <f>VLOOKUP(AA317,[1]MaintenanceDuration_ID!$A$2:$B$5,2,FALSE)</f>
        <v>n/a</v>
      </c>
      <c r="G317" s="1" t="str">
        <f>VLOOKUP(V317,[1]ExpectedDeliveryTime_ID!$A$2:$B$12,2,FALSE)</f>
        <v>n/a</v>
      </c>
      <c r="H317" s="1" t="str">
        <f>VLOOKUP(AC317,[1]PaymentModel_ID!$A$2:$B$7,2,FALSE)</f>
        <v>One-time payment</v>
      </c>
      <c r="I317" s="1" t="str">
        <f>VLOOKUP(W317,[1]ExpectedInvoiceDate_ID!$A$2:$B$12,2,FALSE)</f>
        <v>With FINAL DELIVERY</v>
      </c>
      <c r="J317" s="1" t="str">
        <f>VLOOKUP(X317,[1]GrantOfRights_ID!$A$2:$B$7,2,FALSE)</f>
        <v>n/a</v>
      </c>
      <c r="K317" s="1" t="str">
        <f>VLOOKUP(AE317,[1]Profile!$A$2:$B$8,2,FALSE)</f>
        <v>Qualification Package</v>
      </c>
      <c r="M317" s="1" t="str">
        <f>VLOOKUP(Y317,[1]License_Method_ID!$A$2:$B$13,2,FALSE)</f>
        <v>no technical license protection</v>
      </c>
      <c r="N317" s="1" t="s">
        <v>88</v>
      </c>
      <c r="O317" s="1">
        <v>10</v>
      </c>
      <c r="Q317" s="1" t="str">
        <f>VLOOKUP(AB317,[1]Operational_Profit_Type_ID!$A$2:$B$3,2,FALSE)</f>
        <v>Calculated</v>
      </c>
      <c r="R317" s="1" t="s">
        <v>55</v>
      </c>
      <c r="T317" s="1" t="str">
        <f>VLOOKUP(AD317,[1]UpdateRightID!$A$2:$B$4,2,FALSE)</f>
        <v>none</v>
      </c>
      <c r="U317" s="1" t="s">
        <v>48</v>
      </c>
      <c r="V317" s="1">
        <v>1</v>
      </c>
      <c r="W317" s="1">
        <v>7</v>
      </c>
      <c r="X317" s="1">
        <v>1</v>
      </c>
      <c r="Y317" s="1">
        <v>0</v>
      </c>
      <c r="Z317" s="1">
        <v>1</v>
      </c>
      <c r="AA317" s="1">
        <v>1</v>
      </c>
      <c r="AB317" s="1">
        <v>2</v>
      </c>
      <c r="AC317" s="1">
        <v>2</v>
      </c>
      <c r="AD317" s="1">
        <v>0</v>
      </c>
      <c r="AE317" s="1">
        <v>3</v>
      </c>
    </row>
    <row r="318" spans="1:31" ht="90">
      <c r="A318" s="1" t="s">
        <v>43</v>
      </c>
      <c r="B318" s="1" t="s">
        <v>872</v>
      </c>
      <c r="C318" t="s">
        <v>873</v>
      </c>
      <c r="D318" s="1" t="s">
        <v>874</v>
      </c>
      <c r="E318" s="1" t="str">
        <f>VLOOKUP(Z318,[1]LicenseDuration_ID!$A$2:$B$8,2,FALSE)</f>
        <v>n/a</v>
      </c>
      <c r="F318" s="1" t="str">
        <f>VLOOKUP(AA318,[1]MaintenanceDuration_ID!$A$2:$B$5,2,FALSE)</f>
        <v>n/a</v>
      </c>
      <c r="G318" s="1" t="str">
        <f>VLOOKUP(V318,[1]ExpectedDeliveryTime_ID!$A$2:$B$12,2,FALSE)</f>
        <v>FINALIZED PURCHASE PROCESS + 2 weeks</v>
      </c>
      <c r="H318" s="1" t="str">
        <f>VLOOKUP(AC318,[1]PaymentModel_ID!$A$2:$B$7,2,FALSE)</f>
        <v>One-time payment</v>
      </c>
      <c r="I318" s="1" t="str">
        <f>VLOOKUP(W318,[1]ExpectedInvoiceDate_ID!$A$2:$B$12,2,FALSE)</f>
        <v>With FINAL DELIVERY</v>
      </c>
      <c r="J318" s="1" t="str">
        <f>VLOOKUP(X318,[1]GrantOfRights_ID!$A$2:$B$7,2,FALSE)</f>
        <v>Evaluation and Demonstration License</v>
      </c>
      <c r="K318" s="1" t="str">
        <f>VLOOKUP(AE318,[1]Profile!$A$2:$B$8,2,FALSE)</f>
        <v>License</v>
      </c>
      <c r="M318" s="1" t="str">
        <f>VLOOKUP(Y318,[1]License_Method_ID!$A$2:$B$13,2,FALSE)</f>
        <v>FlexNet Publisher Application Activation Code</v>
      </c>
      <c r="N318" s="1" t="s">
        <v>47</v>
      </c>
      <c r="O318" s="1">
        <v>10</v>
      </c>
      <c r="P318" s="1">
        <v>50</v>
      </c>
      <c r="Q318" s="1" t="str">
        <f>VLOOKUP(AB318,[1]Operational_Profit_Type_ID!$A$2:$B$3,2,FALSE)</f>
        <v>Fix rate</v>
      </c>
      <c r="R318" s="1" t="s">
        <v>55</v>
      </c>
      <c r="T318" s="1" t="str">
        <f>VLOOKUP(AD318,[1]UpdateRightID!$A$2:$B$4,2,FALSE)</f>
        <v>none</v>
      </c>
      <c r="U318" s="1" t="s">
        <v>48</v>
      </c>
      <c r="V318" s="1">
        <v>2</v>
      </c>
      <c r="W318" s="1">
        <v>7</v>
      </c>
      <c r="X318" s="1">
        <v>3</v>
      </c>
      <c r="Y318" s="1">
        <v>1</v>
      </c>
      <c r="Z318" s="1">
        <v>1</v>
      </c>
      <c r="AA318" s="1">
        <v>1</v>
      </c>
      <c r="AB318" s="1">
        <v>1</v>
      </c>
      <c r="AC318" s="1">
        <v>2</v>
      </c>
      <c r="AD318" s="1">
        <v>0</v>
      </c>
      <c r="AE318" s="1">
        <v>1</v>
      </c>
    </row>
    <row r="319" spans="1:31" ht="60">
      <c r="A319" s="1" t="s">
        <v>43</v>
      </c>
      <c r="B319" s="1" t="s">
        <v>875</v>
      </c>
      <c r="C319" t="s">
        <v>876</v>
      </c>
      <c r="D319" s="1" t="s">
        <v>877</v>
      </c>
      <c r="E319" s="1" t="str">
        <f>VLOOKUP(Z319,[1]LicenseDuration_ID!$A$2:$B$8,2,FALSE)</f>
        <v>3 months</v>
      </c>
      <c r="F319" s="1" t="str">
        <f>VLOOKUP(AA319,[1]MaintenanceDuration_ID!$A$2:$B$5,2,FALSE)</f>
        <v>n/a</v>
      </c>
      <c r="G319" s="1" t="str">
        <f>VLOOKUP(V319,[1]ExpectedDeliveryTime_ID!$A$2:$B$12,2,FALSE)</f>
        <v>FINALIZED PURCHASE PROCESS + 2 weeks</v>
      </c>
      <c r="H319" s="1" t="str">
        <f>VLOOKUP(AC319,[1]PaymentModel_ID!$A$2:$B$7,2,FALSE)</f>
        <v>One-time payment</v>
      </c>
      <c r="I319" s="1" t="str">
        <f>VLOOKUP(W319,[1]ExpectedInvoiceDate_ID!$A$2:$B$12,2,FALSE)</f>
        <v>With FINAL DELIVERY</v>
      </c>
      <c r="J319" s="1" t="str">
        <f>VLOOKUP(X319,[1]GrantOfRights_ID!$A$2:$B$7,2,FALSE)</f>
        <v>Evaluation and Demonstration License</v>
      </c>
      <c r="K319" s="1" t="str">
        <f>VLOOKUP(AE319,[1]Profile!$A$2:$B$8,2,FALSE)</f>
        <v>License</v>
      </c>
      <c r="M319" s="1" t="str">
        <f>VLOOKUP(Y319,[1]License_Method_ID!$A$2:$B$13,2,FALSE)</f>
        <v>FlexNet Publisher Application Activation Code</v>
      </c>
      <c r="N319" s="1" t="s">
        <v>47</v>
      </c>
      <c r="O319" s="1">
        <v>10</v>
      </c>
      <c r="P319" s="1">
        <v>50</v>
      </c>
      <c r="Q319" s="1" t="str">
        <f>VLOOKUP(AB319,[1]Operational_Profit_Type_ID!$A$2:$B$3,2,FALSE)</f>
        <v>Fix rate</v>
      </c>
      <c r="R319" s="1" t="s">
        <v>55</v>
      </c>
      <c r="T319" s="1" t="str">
        <f>VLOOKUP(AD319,[1]UpdateRightID!$A$2:$B$4,2,FALSE)</f>
        <v>none</v>
      </c>
      <c r="U319" s="1" t="s">
        <v>48</v>
      </c>
      <c r="V319" s="1">
        <v>2</v>
      </c>
      <c r="W319" s="1">
        <v>7</v>
      </c>
      <c r="X319" s="1">
        <v>3</v>
      </c>
      <c r="Y319" s="1">
        <v>1</v>
      </c>
      <c r="Z319" s="1">
        <v>2</v>
      </c>
      <c r="AA319" s="1">
        <v>1</v>
      </c>
      <c r="AB319" s="1">
        <v>1</v>
      </c>
      <c r="AC319" s="1">
        <v>2</v>
      </c>
      <c r="AD319" s="1">
        <v>0</v>
      </c>
      <c r="AE319" s="1">
        <v>1</v>
      </c>
    </row>
    <row r="320" spans="1:31" ht="60">
      <c r="B320" s="1" t="s">
        <v>878</v>
      </c>
      <c r="C320" t="s">
        <v>879</v>
      </c>
      <c r="D320" s="1" t="s">
        <v>410</v>
      </c>
      <c r="E320" s="1" t="e">
        <f>VLOOKUP(Z320,[1]LicenseDuration_ID!$A$2:$B$8,2,FALSE)</f>
        <v>#N/A</v>
      </c>
      <c r="F320" s="1" t="e">
        <f>VLOOKUP(AA320,[1]MaintenanceDuration_ID!$A$2:$B$5,2,FALSE)</f>
        <v>#N/A</v>
      </c>
      <c r="G320" s="1" t="e">
        <f>VLOOKUP(V320,[1]ExpectedDeliveryTime_ID!$A$2:$B$12,2,FALSE)</f>
        <v>#N/A</v>
      </c>
      <c r="H320" s="1" t="e">
        <f>VLOOKUP(AC320,[1]PaymentModel_ID!$A$2:$B$7,2,FALSE)</f>
        <v>#N/A</v>
      </c>
      <c r="I320" s="1" t="e">
        <f>VLOOKUP(W320,[1]ExpectedInvoiceDate_ID!$A$2:$B$12,2,FALSE)</f>
        <v>#N/A</v>
      </c>
      <c r="J320" s="1" t="e">
        <f>VLOOKUP(X320,[1]GrantOfRights_ID!$A$2:$B$7,2,FALSE)</f>
        <v>#N/A</v>
      </c>
      <c r="K320" s="1" t="str">
        <f>VLOOKUP(AE320,[1]Profile!$A$2:$B$8,2,FALSE)</f>
        <v>License</v>
      </c>
      <c r="M320" s="1" t="str">
        <f>VLOOKUP(Y320,[1]License_Method_ID!$A$2:$B$13,2,FALSE)</f>
        <v>FlexNet Publisher Application Activation Code</v>
      </c>
      <c r="N320" s="1" t="s">
        <v>47</v>
      </c>
      <c r="O320" s="1">
        <v>10</v>
      </c>
      <c r="P320" s="1">
        <v>50</v>
      </c>
      <c r="Q320" s="1" t="str">
        <f>VLOOKUP(AB320,[1]Operational_Profit_Type_ID!$A$2:$B$3,2,FALSE)</f>
        <v>Fix rate</v>
      </c>
      <c r="R320" s="1" t="s">
        <v>48</v>
      </c>
      <c r="T320" s="1" t="str">
        <f>VLOOKUP(AD320,[1]UpdateRightID!$A$2:$B$4,2,FALSE)</f>
        <v>UpdateRightByConfiguration</v>
      </c>
      <c r="U320" s="1" t="s">
        <v>48</v>
      </c>
      <c r="Y320" s="1">
        <v>1</v>
      </c>
      <c r="AB320" s="1">
        <v>1</v>
      </c>
      <c r="AD320" s="1">
        <v>1</v>
      </c>
      <c r="AE320" s="1">
        <v>1</v>
      </c>
    </row>
    <row r="321" spans="2:31" ht="75">
      <c r="B321" s="1" t="s">
        <v>880</v>
      </c>
      <c r="C321" t="s">
        <v>881</v>
      </c>
      <c r="E321" s="1" t="e">
        <f>VLOOKUP(Z321,[1]LicenseDuration_ID!$A$2:$B$8,2,FALSE)</f>
        <v>#N/A</v>
      </c>
      <c r="F321" s="1" t="e">
        <f>VLOOKUP(AA321,[1]MaintenanceDuration_ID!$A$2:$B$5,2,FALSE)</f>
        <v>#N/A</v>
      </c>
      <c r="G321" s="1" t="e">
        <f>VLOOKUP(V321,[1]ExpectedDeliveryTime_ID!$A$2:$B$12,2,FALSE)</f>
        <v>#N/A</v>
      </c>
      <c r="H321" s="1" t="e">
        <f>VLOOKUP(AC321,[1]PaymentModel_ID!$A$2:$B$7,2,FALSE)</f>
        <v>#N/A</v>
      </c>
      <c r="I321" s="1" t="e">
        <f>VLOOKUP(W321,[1]ExpectedInvoiceDate_ID!$A$2:$B$12,2,FALSE)</f>
        <v>#N/A</v>
      </c>
      <c r="J321" s="1" t="e">
        <f>VLOOKUP(X321,[1]GrantOfRights_ID!$A$2:$B$7,2,FALSE)</f>
        <v>#N/A</v>
      </c>
      <c r="K321" s="1" t="str">
        <f>VLOOKUP(AE321,[1]Profile!$A$2:$B$8,2,FALSE)</f>
        <v>Product related service without profile</v>
      </c>
      <c r="M321" s="1" t="str">
        <f>VLOOKUP(Y321,[1]License_Method_ID!$A$2:$B$13,2,FALSE)</f>
        <v>no technical license protection</v>
      </c>
      <c r="N321" s="1" t="s">
        <v>88</v>
      </c>
      <c r="O321" s="1">
        <v>10</v>
      </c>
      <c r="Q321" s="1" t="str">
        <f>VLOOKUP(AB321,[1]Operational_Profit_Type_ID!$A$2:$B$3,2,FALSE)</f>
        <v>Calculated</v>
      </c>
      <c r="R321" s="1" t="s">
        <v>55</v>
      </c>
      <c r="T321" s="1" t="str">
        <f>VLOOKUP(AD321,[1]UpdateRightID!$A$2:$B$4,2,FALSE)</f>
        <v>none</v>
      </c>
      <c r="U321" s="1" t="s">
        <v>48</v>
      </c>
      <c r="Y321" s="1">
        <v>0</v>
      </c>
      <c r="AB321" s="1">
        <v>2</v>
      </c>
      <c r="AD321" s="1">
        <v>0</v>
      </c>
      <c r="AE321" s="1">
        <v>0</v>
      </c>
    </row>
    <row r="322" spans="2:31" ht="45">
      <c r="B322" s="1" t="s">
        <v>882</v>
      </c>
      <c r="C322" t="s">
        <v>883</v>
      </c>
      <c r="D322" s="1" t="s">
        <v>206</v>
      </c>
      <c r="E322" s="1" t="e">
        <f>VLOOKUP(Z322,[1]LicenseDuration_ID!$A$2:$B$8,2,FALSE)</f>
        <v>#N/A</v>
      </c>
      <c r="F322" s="1" t="e">
        <f>VLOOKUP(AA322,[1]MaintenanceDuration_ID!$A$2:$B$5,2,FALSE)</f>
        <v>#N/A</v>
      </c>
      <c r="G322" s="1" t="e">
        <f>VLOOKUP(V322,[1]ExpectedDeliveryTime_ID!$A$2:$B$12,2,FALSE)</f>
        <v>#N/A</v>
      </c>
      <c r="H322" s="1" t="e">
        <f>VLOOKUP(AC322,[1]PaymentModel_ID!$A$2:$B$7,2,FALSE)</f>
        <v>#N/A</v>
      </c>
      <c r="I322" s="1" t="e">
        <f>VLOOKUP(W322,[1]ExpectedInvoiceDate_ID!$A$2:$B$12,2,FALSE)</f>
        <v>#N/A</v>
      </c>
      <c r="J322" s="1" t="e">
        <f>VLOOKUP(X322,[1]GrantOfRights_ID!$A$2:$B$7,2,FALSE)</f>
        <v>#N/A</v>
      </c>
      <c r="K322" s="1" t="str">
        <f>VLOOKUP(AE322,[1]Profile!$A$2:$B$8,2,FALSE)</f>
        <v>Porting</v>
      </c>
      <c r="M322" s="1" t="str">
        <f>VLOOKUP(Y322,[1]License_Method_ID!$A$2:$B$13,2,FALSE)</f>
        <v>no technical license protection</v>
      </c>
      <c r="N322" s="1" t="s">
        <v>88</v>
      </c>
      <c r="O322" s="1">
        <v>10</v>
      </c>
      <c r="Q322" s="1" t="str">
        <f>VLOOKUP(AB322,[1]Operational_Profit_Type_ID!$A$2:$B$3,2,FALSE)</f>
        <v>Calculated</v>
      </c>
      <c r="R322" s="1" t="s">
        <v>55</v>
      </c>
      <c r="T322" s="1" t="str">
        <f>VLOOKUP(AD322,[1]UpdateRightID!$A$2:$B$4,2,FALSE)</f>
        <v>none</v>
      </c>
      <c r="U322" s="1" t="s">
        <v>48</v>
      </c>
      <c r="Y322" s="1">
        <v>0</v>
      </c>
      <c r="AB322" s="1">
        <v>2</v>
      </c>
      <c r="AD322" s="1">
        <v>0</v>
      </c>
      <c r="AE322" s="1">
        <v>4</v>
      </c>
    </row>
    <row r="323" spans="2:31" ht="180">
      <c r="B323" s="1" t="s">
        <v>884</v>
      </c>
      <c r="C323" t="s">
        <v>885</v>
      </c>
      <c r="D323" s="1" t="s">
        <v>886</v>
      </c>
      <c r="E323" s="1" t="e">
        <f>VLOOKUP(Z323,[1]LicenseDuration_ID!$A$2:$B$8,2,FALSE)</f>
        <v>#N/A</v>
      </c>
      <c r="F323" s="1" t="e">
        <f>VLOOKUP(AA323,[1]MaintenanceDuration_ID!$A$2:$B$5,2,FALSE)</f>
        <v>#N/A</v>
      </c>
      <c r="G323" s="1" t="e">
        <f>VLOOKUP(V323,[1]ExpectedDeliveryTime_ID!$A$2:$B$12,2,FALSE)</f>
        <v>#N/A</v>
      </c>
      <c r="H323" s="1" t="e">
        <f>VLOOKUP(AC323,[1]PaymentModel_ID!$A$2:$B$7,2,FALSE)</f>
        <v>#N/A</v>
      </c>
      <c r="I323" s="1" t="e">
        <f>VLOOKUP(W323,[1]ExpectedInvoiceDate_ID!$A$2:$B$12,2,FALSE)</f>
        <v>#N/A</v>
      </c>
      <c r="J323" s="1" t="e">
        <f>VLOOKUP(X323,[1]GrantOfRights_ID!$A$2:$B$7,2,FALSE)</f>
        <v>#N/A</v>
      </c>
      <c r="K323" s="1" t="str">
        <f>VLOOKUP(AE323,[1]Profile!$A$2:$B$8,2,FALSE)</f>
        <v>Qualification Package</v>
      </c>
      <c r="M323" s="1" t="str">
        <f>VLOOKUP(Y323,[1]License_Method_ID!$A$2:$B$13,2,FALSE)</f>
        <v>no technical license protection</v>
      </c>
      <c r="N323" s="1" t="s">
        <v>88</v>
      </c>
      <c r="O323" s="1">
        <v>10</v>
      </c>
      <c r="Q323" s="1" t="str">
        <f>VLOOKUP(AB323,[1]Operational_Profit_Type_ID!$A$2:$B$3,2,FALSE)</f>
        <v>Calculated</v>
      </c>
      <c r="R323" s="1" t="s">
        <v>55</v>
      </c>
      <c r="T323" s="1" t="str">
        <f>VLOOKUP(AD323,[1]UpdateRightID!$A$2:$B$4,2,FALSE)</f>
        <v>none</v>
      </c>
      <c r="U323" s="1" t="s">
        <v>48</v>
      </c>
      <c r="Y323" s="1">
        <v>0</v>
      </c>
      <c r="AB323" s="1">
        <v>2</v>
      </c>
      <c r="AD323" s="1">
        <v>0</v>
      </c>
      <c r="AE323" s="1">
        <v>3</v>
      </c>
    </row>
    <row r="324" spans="2:31" ht="60">
      <c r="B324" s="1" t="s">
        <v>887</v>
      </c>
      <c r="C324" t="s">
        <v>888</v>
      </c>
      <c r="D324" s="1" t="s">
        <v>889</v>
      </c>
      <c r="E324" s="1" t="e">
        <f>VLOOKUP(Z324,[1]LicenseDuration_ID!$A$2:$B$8,2,FALSE)</f>
        <v>#N/A</v>
      </c>
      <c r="F324" s="1" t="e">
        <f>VLOOKUP(AA324,[1]MaintenanceDuration_ID!$A$2:$B$5,2,FALSE)</f>
        <v>#N/A</v>
      </c>
      <c r="G324" s="1" t="e">
        <f>VLOOKUP(V324,[1]ExpectedDeliveryTime_ID!$A$2:$B$12,2,FALSE)</f>
        <v>#N/A</v>
      </c>
      <c r="H324" s="1" t="e">
        <f>VLOOKUP(AC324,[1]PaymentModel_ID!$A$2:$B$7,2,FALSE)</f>
        <v>#N/A</v>
      </c>
      <c r="I324" s="1" t="e">
        <f>VLOOKUP(W324,[1]ExpectedInvoiceDate_ID!$A$2:$B$12,2,FALSE)</f>
        <v>#N/A</v>
      </c>
      <c r="J324" s="1" t="e">
        <f>VLOOKUP(X324,[1]GrantOfRights_ID!$A$2:$B$7,2,FALSE)</f>
        <v>#N/A</v>
      </c>
      <c r="K324" s="1" t="str">
        <f>VLOOKUP(AE324,[1]Profile!$A$2:$B$8,2,FALSE)</f>
        <v>Qualification Package</v>
      </c>
      <c r="M324" s="1" t="str">
        <f>VLOOKUP(Y324,[1]License_Method_ID!$A$2:$B$13,2,FALSE)</f>
        <v>no technical license protection</v>
      </c>
      <c r="N324" s="1" t="s">
        <v>88</v>
      </c>
      <c r="O324" s="1">
        <v>10</v>
      </c>
      <c r="Q324" s="1" t="str">
        <f>VLOOKUP(AB324,[1]Operational_Profit_Type_ID!$A$2:$B$3,2,FALSE)</f>
        <v>Calculated</v>
      </c>
      <c r="R324" s="1" t="s">
        <v>55</v>
      </c>
      <c r="T324" s="1" t="str">
        <f>VLOOKUP(AD324,[1]UpdateRightID!$A$2:$B$4,2,FALSE)</f>
        <v>none</v>
      </c>
      <c r="U324" s="1" t="s">
        <v>48</v>
      </c>
      <c r="Y324" s="1">
        <v>0</v>
      </c>
      <c r="AB324" s="1">
        <v>2</v>
      </c>
      <c r="AD324" s="1">
        <v>0</v>
      </c>
      <c r="AE324" s="1">
        <v>3</v>
      </c>
    </row>
    <row r="325" spans="2:31" ht="105">
      <c r="B325" s="1" t="s">
        <v>890</v>
      </c>
      <c r="C325" t="s">
        <v>891</v>
      </c>
      <c r="D325" s="1" t="s">
        <v>892</v>
      </c>
      <c r="E325" s="1" t="e">
        <f>VLOOKUP(Z325,[1]LicenseDuration_ID!$A$2:$B$8,2,FALSE)</f>
        <v>#N/A</v>
      </c>
      <c r="F325" s="1" t="e">
        <f>VLOOKUP(AA325,[1]MaintenanceDuration_ID!$A$2:$B$5,2,FALSE)</f>
        <v>#N/A</v>
      </c>
      <c r="G325" s="1" t="e">
        <f>VLOOKUP(V325,[1]ExpectedDeliveryTime_ID!$A$2:$B$12,2,FALSE)</f>
        <v>#N/A</v>
      </c>
      <c r="H325" s="1" t="e">
        <f>VLOOKUP(AC325,[1]PaymentModel_ID!$A$2:$B$7,2,FALSE)</f>
        <v>#N/A</v>
      </c>
      <c r="I325" s="1" t="e">
        <f>VLOOKUP(W325,[1]ExpectedInvoiceDate_ID!$A$2:$B$12,2,FALSE)</f>
        <v>#N/A</v>
      </c>
      <c r="J325" s="1" t="e">
        <f>VLOOKUP(X325,[1]GrantOfRights_ID!$A$2:$B$7,2,FALSE)</f>
        <v>#N/A</v>
      </c>
      <c r="K325" s="1" t="str">
        <f>VLOOKUP(AE325,[1]Profile!$A$2:$B$8,2,FALSE)</f>
        <v>Integration Package</v>
      </c>
      <c r="M325" s="1" t="str">
        <f>VLOOKUP(Y325,[1]License_Method_ID!$A$2:$B$13,2,FALSE)</f>
        <v>no technical license protection</v>
      </c>
      <c r="N325" s="1" t="s">
        <v>88</v>
      </c>
      <c r="O325" s="1">
        <v>10</v>
      </c>
      <c r="Q325" s="1" t="str">
        <f>VLOOKUP(AB325,[1]Operational_Profit_Type_ID!$A$2:$B$3,2,FALSE)</f>
        <v>Calculated</v>
      </c>
      <c r="R325" s="1" t="s">
        <v>55</v>
      </c>
      <c r="T325" s="1" t="str">
        <f>VLOOKUP(AD325,[1]UpdateRightID!$A$2:$B$4,2,FALSE)</f>
        <v>none</v>
      </c>
      <c r="U325" s="1" t="s">
        <v>48</v>
      </c>
      <c r="Y325" s="1">
        <v>0</v>
      </c>
      <c r="AB325" s="1">
        <v>2</v>
      </c>
      <c r="AD325" s="1">
        <v>0</v>
      </c>
      <c r="AE325" s="1">
        <v>2</v>
      </c>
    </row>
    <row r="326" spans="2:31" ht="30">
      <c r="B326" s="1" t="s">
        <v>893</v>
      </c>
      <c r="C326" t="s">
        <v>894</v>
      </c>
      <c r="D326" s="1" t="s">
        <v>744</v>
      </c>
      <c r="E326" s="1" t="e">
        <f>VLOOKUP(Z326,[1]LicenseDuration_ID!$A$2:$B$8,2,FALSE)</f>
        <v>#N/A</v>
      </c>
      <c r="F326" s="1" t="e">
        <f>VLOOKUP(AA326,[1]MaintenanceDuration_ID!$A$2:$B$5,2,FALSE)</f>
        <v>#N/A</v>
      </c>
      <c r="G326" s="1" t="e">
        <f>VLOOKUP(V326,[1]ExpectedDeliveryTime_ID!$A$2:$B$12,2,FALSE)</f>
        <v>#N/A</v>
      </c>
      <c r="H326" s="1" t="e">
        <f>VLOOKUP(AC326,[1]PaymentModel_ID!$A$2:$B$7,2,FALSE)</f>
        <v>#N/A</v>
      </c>
      <c r="I326" s="1" t="e">
        <f>VLOOKUP(W326,[1]ExpectedInvoiceDate_ID!$A$2:$B$12,2,FALSE)</f>
        <v>#N/A</v>
      </c>
      <c r="J326" s="1" t="e">
        <f>VLOOKUP(X326,[1]GrantOfRights_ID!$A$2:$B$7,2,FALSE)</f>
        <v>#N/A</v>
      </c>
      <c r="K326" s="1" t="str">
        <f>VLOOKUP(AE326,[1]Profile!$A$2:$B$8,2,FALSE)</f>
        <v>Qualification Package</v>
      </c>
      <c r="M326" s="1" t="str">
        <f>VLOOKUP(Y326,[1]License_Method_ID!$A$2:$B$13,2,FALSE)</f>
        <v>no technical license protection</v>
      </c>
      <c r="O326" s="1">
        <v>10</v>
      </c>
      <c r="P326" s="1">
        <v>50</v>
      </c>
      <c r="Q326" s="1" t="str">
        <f>VLOOKUP(AB326,[1]Operational_Profit_Type_ID!$A$2:$B$3,2,FALSE)</f>
        <v>Fix rate</v>
      </c>
      <c r="R326" s="1" t="s">
        <v>55</v>
      </c>
      <c r="T326" s="1" t="str">
        <f>VLOOKUP(AD326,[1]UpdateRightID!$A$2:$B$4,2,FALSE)</f>
        <v>none</v>
      </c>
      <c r="U326" s="1" t="s">
        <v>48</v>
      </c>
      <c r="Y326" s="1">
        <v>0</v>
      </c>
      <c r="AB326" s="1">
        <v>1</v>
      </c>
      <c r="AD326" s="1">
        <v>0</v>
      </c>
      <c r="AE326" s="1">
        <v>3</v>
      </c>
    </row>
    <row r="327" spans="2:31" ht="45">
      <c r="B327" s="1" t="s">
        <v>895</v>
      </c>
      <c r="C327" t="s">
        <v>896</v>
      </c>
      <c r="D327" s="1" t="s">
        <v>897</v>
      </c>
      <c r="E327" s="1" t="e">
        <f>VLOOKUP(Z327,[1]LicenseDuration_ID!$A$2:$B$8,2,FALSE)</f>
        <v>#N/A</v>
      </c>
      <c r="F327" s="1" t="e">
        <f>VLOOKUP(AA327,[1]MaintenanceDuration_ID!$A$2:$B$5,2,FALSE)</f>
        <v>#N/A</v>
      </c>
      <c r="G327" s="1" t="e">
        <f>VLOOKUP(V327,[1]ExpectedDeliveryTime_ID!$A$2:$B$12,2,FALSE)</f>
        <v>#N/A</v>
      </c>
      <c r="H327" s="1" t="e">
        <f>VLOOKUP(AC327,[1]PaymentModel_ID!$A$2:$B$7,2,FALSE)</f>
        <v>#N/A</v>
      </c>
      <c r="I327" s="1" t="e">
        <f>VLOOKUP(W327,[1]ExpectedInvoiceDate_ID!$A$2:$B$12,2,FALSE)</f>
        <v>#N/A</v>
      </c>
      <c r="J327" s="1" t="e">
        <f>VLOOKUP(X327,[1]GrantOfRights_ID!$A$2:$B$7,2,FALSE)</f>
        <v>#N/A</v>
      </c>
      <c r="K327" s="1" t="str">
        <f>VLOOKUP(AE327,[1]Profile!$A$2:$B$8,2,FALSE)</f>
        <v>Porting</v>
      </c>
      <c r="M327" s="1" t="str">
        <f>VLOOKUP(Y327,[1]License_Method_ID!$A$2:$B$13,2,FALSE)</f>
        <v>no technical license protection</v>
      </c>
      <c r="O327" s="1">
        <v>10</v>
      </c>
      <c r="P327" s="1">
        <v>50</v>
      </c>
      <c r="Q327" s="1" t="str">
        <f>VLOOKUP(AB327,[1]Operational_Profit_Type_ID!$A$2:$B$3,2,FALSE)</f>
        <v>Fix rate</v>
      </c>
      <c r="R327" s="1" t="s">
        <v>55</v>
      </c>
      <c r="T327" s="1" t="str">
        <f>VLOOKUP(AD327,[1]UpdateRightID!$A$2:$B$4,2,FALSE)</f>
        <v>none</v>
      </c>
      <c r="U327" s="1" t="s">
        <v>48</v>
      </c>
      <c r="Y327" s="1">
        <v>0</v>
      </c>
      <c r="AB327" s="1">
        <v>1</v>
      </c>
      <c r="AD327" s="1">
        <v>0</v>
      </c>
      <c r="AE327" s="1">
        <v>4</v>
      </c>
    </row>
    <row r="328" spans="2:31" ht="375">
      <c r="B328" s="1" t="s">
        <v>898</v>
      </c>
      <c r="C328" t="s">
        <v>899</v>
      </c>
      <c r="D328" s="1" t="s">
        <v>900</v>
      </c>
      <c r="E328" s="1" t="e">
        <f>VLOOKUP(Z328,[1]LicenseDuration_ID!$A$2:$B$8,2,FALSE)</f>
        <v>#N/A</v>
      </c>
      <c r="F328" s="1" t="e">
        <f>VLOOKUP(AA328,[1]MaintenanceDuration_ID!$A$2:$B$5,2,FALSE)</f>
        <v>#N/A</v>
      </c>
      <c r="G328" s="1" t="e">
        <f>VLOOKUP(V328,[1]ExpectedDeliveryTime_ID!$A$2:$B$12,2,FALSE)</f>
        <v>#N/A</v>
      </c>
      <c r="H328" s="1" t="e">
        <f>VLOOKUP(AC328,[1]PaymentModel_ID!$A$2:$B$7,2,FALSE)</f>
        <v>#N/A</v>
      </c>
      <c r="I328" s="1" t="e">
        <f>VLOOKUP(W328,[1]ExpectedInvoiceDate_ID!$A$2:$B$12,2,FALSE)</f>
        <v>#N/A</v>
      </c>
      <c r="J328" s="1" t="e">
        <f>VLOOKUP(X328,[1]GrantOfRights_ID!$A$2:$B$7,2,FALSE)</f>
        <v>#N/A</v>
      </c>
      <c r="K328" s="1" t="str">
        <f>VLOOKUP(AE328,[1]Profile!$A$2:$B$8,2,FALSE)</f>
        <v>License</v>
      </c>
      <c r="M328" s="1" t="str">
        <f>VLOOKUP(Y328,[1]License_Method_ID!$A$2:$B$13,2,FALSE)</f>
        <v>no technical license protection</v>
      </c>
      <c r="N328" s="1" t="s">
        <v>47</v>
      </c>
      <c r="O328" s="1">
        <v>10</v>
      </c>
      <c r="P328" s="1">
        <v>50</v>
      </c>
      <c r="Q328" s="1" t="str">
        <f>VLOOKUP(AB328,[1]Operational_Profit_Type_ID!$A$2:$B$3,2,FALSE)</f>
        <v>Fix rate</v>
      </c>
      <c r="R328" s="1" t="s">
        <v>55</v>
      </c>
      <c r="S328" s="1">
        <v>10</v>
      </c>
      <c r="T328" s="1" t="str">
        <f>VLOOKUP(AD328,[1]UpdateRightID!$A$2:$B$4,2,FALSE)</f>
        <v>UpdateRightByConfiguration</v>
      </c>
      <c r="U328" s="1" t="s">
        <v>48</v>
      </c>
      <c r="Y328" s="1">
        <v>0</v>
      </c>
      <c r="AB328" s="1">
        <v>1</v>
      </c>
      <c r="AD328" s="1">
        <v>1</v>
      </c>
      <c r="AE328" s="1">
        <v>1</v>
      </c>
    </row>
    <row r="329" spans="2:31" ht="75">
      <c r="B329" s="1" t="s">
        <v>901</v>
      </c>
      <c r="C329" t="s">
        <v>902</v>
      </c>
      <c r="E329" s="1" t="e">
        <f>VLOOKUP(Z329,[1]LicenseDuration_ID!$A$2:$B$8,2,FALSE)</f>
        <v>#N/A</v>
      </c>
      <c r="F329" s="1" t="e">
        <f>VLOOKUP(AA329,[1]MaintenanceDuration_ID!$A$2:$B$5,2,FALSE)</f>
        <v>#N/A</v>
      </c>
      <c r="G329" s="1" t="e">
        <f>VLOOKUP(V329,[1]ExpectedDeliveryTime_ID!$A$2:$B$12,2,FALSE)</f>
        <v>#N/A</v>
      </c>
      <c r="H329" s="1" t="e">
        <f>VLOOKUP(AC329,[1]PaymentModel_ID!$A$2:$B$7,2,FALSE)</f>
        <v>#N/A</v>
      </c>
      <c r="I329" s="1" t="e">
        <f>VLOOKUP(W329,[1]ExpectedInvoiceDate_ID!$A$2:$B$12,2,FALSE)</f>
        <v>#N/A</v>
      </c>
      <c r="J329" s="1" t="e">
        <f>VLOOKUP(X329,[1]GrantOfRights_ID!$A$2:$B$7,2,FALSE)</f>
        <v>#N/A</v>
      </c>
      <c r="K329" s="1" t="str">
        <f>VLOOKUP(AE329,[1]Profile!$A$2:$B$8,2,FALSE)</f>
        <v>Product related service without profile</v>
      </c>
      <c r="M329" s="1" t="str">
        <f>VLOOKUP(Y329,[1]License_Method_ID!$A$2:$B$13,2,FALSE)</f>
        <v>no technical license protection</v>
      </c>
      <c r="N329" s="1" t="s">
        <v>88</v>
      </c>
      <c r="O329" s="1">
        <v>10</v>
      </c>
      <c r="Q329" s="1" t="str">
        <f>VLOOKUP(AB329,[1]Operational_Profit_Type_ID!$A$2:$B$3,2,FALSE)</f>
        <v>Calculated</v>
      </c>
      <c r="R329" s="1" t="s">
        <v>48</v>
      </c>
      <c r="T329" s="1" t="str">
        <f>VLOOKUP(AD329,[1]UpdateRightID!$A$2:$B$4,2,FALSE)</f>
        <v>none</v>
      </c>
      <c r="U329" s="1" t="s">
        <v>48</v>
      </c>
      <c r="Y329" s="1">
        <v>0</v>
      </c>
      <c r="AB329" s="1">
        <v>2</v>
      </c>
      <c r="AD329" s="1">
        <v>0</v>
      </c>
      <c r="AE329" s="1">
        <v>0</v>
      </c>
    </row>
    <row r="330" spans="2:31" ht="60">
      <c r="B330" s="1" t="s">
        <v>903</v>
      </c>
      <c r="C330" t="s">
        <v>904</v>
      </c>
      <c r="D330" s="1" t="s">
        <v>905</v>
      </c>
      <c r="E330" s="1" t="e">
        <f>VLOOKUP(Z330,[1]LicenseDuration_ID!$A$2:$B$8,2,FALSE)</f>
        <v>#N/A</v>
      </c>
      <c r="F330" s="1" t="e">
        <f>VLOOKUP(AA330,[1]MaintenanceDuration_ID!$A$2:$B$5,2,FALSE)</f>
        <v>#N/A</v>
      </c>
      <c r="G330" s="1" t="e">
        <f>VLOOKUP(V330,[1]ExpectedDeliveryTime_ID!$A$2:$B$12,2,FALSE)</f>
        <v>#N/A</v>
      </c>
      <c r="H330" s="1" t="e">
        <f>VLOOKUP(AC330,[1]PaymentModel_ID!$A$2:$B$7,2,FALSE)</f>
        <v>#N/A</v>
      </c>
      <c r="I330" s="1" t="e">
        <f>VLOOKUP(W330,[1]ExpectedInvoiceDate_ID!$A$2:$B$12,2,FALSE)</f>
        <v>#N/A</v>
      </c>
      <c r="J330" s="1" t="e">
        <f>VLOOKUP(X330,[1]GrantOfRights_ID!$A$2:$B$7,2,FALSE)</f>
        <v>#N/A</v>
      </c>
      <c r="K330" s="1" t="str">
        <f>VLOOKUP(AE330,[1]Profile!$A$2:$B$8,2,FALSE)</f>
        <v>License</v>
      </c>
      <c r="M330" s="1" t="str">
        <f>VLOOKUP(Y330,[1]License_Method_ID!$A$2:$B$13,2,FALSE)</f>
        <v>no technical license protection</v>
      </c>
      <c r="N330" s="1" t="s">
        <v>47</v>
      </c>
      <c r="O330" s="1">
        <v>10</v>
      </c>
      <c r="Q330" s="1" t="str">
        <f>VLOOKUP(AB330,[1]Operational_Profit_Type_ID!$A$2:$B$3,2,FALSE)</f>
        <v>Calculated</v>
      </c>
      <c r="R330" s="1" t="s">
        <v>48</v>
      </c>
      <c r="T330" s="1" t="str">
        <f>VLOOKUP(AD330,[1]UpdateRightID!$A$2:$B$4,2,FALSE)</f>
        <v>none</v>
      </c>
      <c r="U330" s="1" t="s">
        <v>48</v>
      </c>
      <c r="Y330" s="1">
        <v>0</v>
      </c>
      <c r="AB330" s="1">
        <v>2</v>
      </c>
      <c r="AD330" s="1">
        <v>0</v>
      </c>
      <c r="AE330" s="1">
        <v>1</v>
      </c>
    </row>
    <row r="331" spans="2:31" ht="150">
      <c r="B331" s="1" t="s">
        <v>906</v>
      </c>
      <c r="C331" t="s">
        <v>907</v>
      </c>
      <c r="D331" s="1" t="s">
        <v>908</v>
      </c>
      <c r="E331" s="1" t="e">
        <f>VLOOKUP(Z331,[1]LicenseDuration_ID!$A$2:$B$8,2,FALSE)</f>
        <v>#N/A</v>
      </c>
      <c r="F331" s="1" t="e">
        <f>VLOOKUP(AA331,[1]MaintenanceDuration_ID!$A$2:$B$5,2,FALSE)</f>
        <v>#N/A</v>
      </c>
      <c r="G331" s="1" t="e">
        <f>VLOOKUP(V331,[1]ExpectedDeliveryTime_ID!$A$2:$B$12,2,FALSE)</f>
        <v>#N/A</v>
      </c>
      <c r="H331" s="1" t="e">
        <f>VLOOKUP(AC331,[1]PaymentModel_ID!$A$2:$B$7,2,FALSE)</f>
        <v>#N/A</v>
      </c>
      <c r="I331" s="1" t="e">
        <f>VLOOKUP(W331,[1]ExpectedInvoiceDate_ID!$A$2:$B$12,2,FALSE)</f>
        <v>#N/A</v>
      </c>
      <c r="J331" s="1" t="e">
        <f>VLOOKUP(X331,[1]GrantOfRights_ID!$A$2:$B$7,2,FALSE)</f>
        <v>#N/A</v>
      </c>
      <c r="K331" s="1" t="str">
        <f>VLOOKUP(AE331,[1]Profile!$A$2:$B$8,2,FALSE)</f>
        <v>License</v>
      </c>
      <c r="M331" s="1" t="str">
        <f>VLOOKUP(Y331,[1]License_Method_ID!$A$2:$B$13,2,FALSE)</f>
        <v>FlexNet Publisher Dongle License File</v>
      </c>
      <c r="N331" s="1" t="s">
        <v>47</v>
      </c>
      <c r="O331" s="1">
        <v>10</v>
      </c>
      <c r="P331" s="1">
        <v>50</v>
      </c>
      <c r="Q331" s="1" t="str">
        <f>VLOOKUP(AB331,[1]Operational_Profit_Type_ID!$A$2:$B$3,2,FALSE)</f>
        <v>Fix rate</v>
      </c>
      <c r="R331" s="1" t="s">
        <v>48</v>
      </c>
      <c r="T331" s="1" t="str">
        <f>VLOOKUP(AD331,[1]UpdateRightID!$A$2:$B$4,2,FALSE)</f>
        <v>UpdateRightByConfiguration</v>
      </c>
      <c r="U331" s="1" t="s">
        <v>48</v>
      </c>
      <c r="Y331" s="1">
        <v>3</v>
      </c>
      <c r="AB331" s="1">
        <v>1</v>
      </c>
      <c r="AD331" s="1">
        <v>1</v>
      </c>
      <c r="AE331" s="1">
        <v>1</v>
      </c>
    </row>
    <row r="332" spans="2:31" ht="150">
      <c r="B332" s="1" t="s">
        <v>909</v>
      </c>
      <c r="C332" t="s">
        <v>910</v>
      </c>
      <c r="D332" s="1" t="s">
        <v>911</v>
      </c>
      <c r="E332" s="1" t="e">
        <f>VLOOKUP(Z332,[1]LicenseDuration_ID!$A$2:$B$8,2,FALSE)</f>
        <v>#N/A</v>
      </c>
      <c r="F332" s="1" t="e">
        <f>VLOOKUP(AA332,[1]MaintenanceDuration_ID!$A$2:$B$5,2,FALSE)</f>
        <v>#N/A</v>
      </c>
      <c r="G332" s="1" t="e">
        <f>VLOOKUP(V332,[1]ExpectedDeliveryTime_ID!$A$2:$B$12,2,FALSE)</f>
        <v>#N/A</v>
      </c>
      <c r="H332" s="1" t="e">
        <f>VLOOKUP(AC332,[1]PaymentModel_ID!$A$2:$B$7,2,FALSE)</f>
        <v>#N/A</v>
      </c>
      <c r="I332" s="1" t="e">
        <f>VLOOKUP(W332,[1]ExpectedInvoiceDate_ID!$A$2:$B$12,2,FALSE)</f>
        <v>#N/A</v>
      </c>
      <c r="J332" s="1" t="e">
        <f>VLOOKUP(X332,[1]GrantOfRights_ID!$A$2:$B$7,2,FALSE)</f>
        <v>#N/A</v>
      </c>
      <c r="K332" s="1" t="str">
        <f>VLOOKUP(AE332,[1]Profile!$A$2:$B$8,2,FALSE)</f>
        <v>License</v>
      </c>
      <c r="M332" s="1" t="str">
        <f>VLOOKUP(Y332,[1]License_Method_ID!$A$2:$B$13,2,FALSE)</f>
        <v>FlexNet Publisher Dongle License File</v>
      </c>
      <c r="N332" s="1" t="s">
        <v>47</v>
      </c>
      <c r="O332" s="1">
        <v>10</v>
      </c>
      <c r="P332" s="1">
        <v>50</v>
      </c>
      <c r="Q332" s="1" t="str">
        <f>VLOOKUP(AB332,[1]Operational_Profit_Type_ID!$A$2:$B$3,2,FALSE)</f>
        <v>Fix rate</v>
      </c>
      <c r="R332" s="1" t="s">
        <v>48</v>
      </c>
      <c r="T332" s="1" t="str">
        <f>VLOOKUP(AD332,[1]UpdateRightID!$A$2:$B$4,2,FALSE)</f>
        <v>UpdateRightByConfiguration</v>
      </c>
      <c r="U332" s="1" t="s">
        <v>48</v>
      </c>
      <c r="Y332" s="1">
        <v>3</v>
      </c>
      <c r="AB332" s="1">
        <v>1</v>
      </c>
      <c r="AD332" s="1">
        <v>1</v>
      </c>
      <c r="AE332" s="1">
        <v>1</v>
      </c>
    </row>
    <row r="333" spans="2:31" ht="150">
      <c r="B333" s="1" t="s">
        <v>912</v>
      </c>
      <c r="C333" t="s">
        <v>913</v>
      </c>
      <c r="D333" s="1" t="s">
        <v>914</v>
      </c>
      <c r="E333" s="1" t="e">
        <f>VLOOKUP(Z333,[1]LicenseDuration_ID!$A$2:$B$8,2,FALSE)</f>
        <v>#N/A</v>
      </c>
      <c r="F333" s="1" t="e">
        <f>VLOOKUP(AA333,[1]MaintenanceDuration_ID!$A$2:$B$5,2,FALSE)</f>
        <v>#N/A</v>
      </c>
      <c r="G333" s="1" t="e">
        <f>VLOOKUP(V333,[1]ExpectedDeliveryTime_ID!$A$2:$B$12,2,FALSE)</f>
        <v>#N/A</v>
      </c>
      <c r="H333" s="1" t="e">
        <f>VLOOKUP(AC333,[1]PaymentModel_ID!$A$2:$B$7,2,FALSE)</f>
        <v>#N/A</v>
      </c>
      <c r="I333" s="1" t="e">
        <f>VLOOKUP(W333,[1]ExpectedInvoiceDate_ID!$A$2:$B$12,2,FALSE)</f>
        <v>#N/A</v>
      </c>
      <c r="J333" s="1" t="e">
        <f>VLOOKUP(X333,[1]GrantOfRights_ID!$A$2:$B$7,2,FALSE)</f>
        <v>#N/A</v>
      </c>
      <c r="K333" s="1" t="str">
        <f>VLOOKUP(AE333,[1]Profile!$A$2:$B$8,2,FALSE)</f>
        <v>License</v>
      </c>
      <c r="M333" s="1" t="str">
        <f>VLOOKUP(Y333,[1]License_Method_ID!$A$2:$B$13,2,FALSE)</f>
        <v>FlexNet Publisher Application Activation Code</v>
      </c>
      <c r="N333" s="1" t="s">
        <v>47</v>
      </c>
      <c r="O333" s="1">
        <v>10</v>
      </c>
      <c r="P333" s="1">
        <v>50</v>
      </c>
      <c r="Q333" s="1" t="str">
        <f>VLOOKUP(AB333,[1]Operational_Profit_Type_ID!$A$2:$B$3,2,FALSE)</f>
        <v>Fix rate</v>
      </c>
      <c r="R333" s="1" t="s">
        <v>48</v>
      </c>
      <c r="T333" s="1" t="str">
        <f>VLOOKUP(AD333,[1]UpdateRightID!$A$2:$B$4,2,FALSE)</f>
        <v>UpdateRightByConfiguration</v>
      </c>
      <c r="U333" s="1" t="s">
        <v>48</v>
      </c>
      <c r="Y333" s="1">
        <v>1</v>
      </c>
      <c r="AB333" s="1">
        <v>1</v>
      </c>
      <c r="AD333" s="1">
        <v>1</v>
      </c>
      <c r="AE333" s="1">
        <v>1</v>
      </c>
    </row>
    <row r="334" spans="2:31" ht="150">
      <c r="B334" s="1" t="s">
        <v>915</v>
      </c>
      <c r="C334" t="s">
        <v>916</v>
      </c>
      <c r="D334" s="1" t="s">
        <v>917</v>
      </c>
      <c r="E334" s="1" t="e">
        <f>VLOOKUP(Z334,[1]LicenseDuration_ID!$A$2:$B$8,2,FALSE)</f>
        <v>#N/A</v>
      </c>
      <c r="F334" s="1" t="e">
        <f>VLOOKUP(AA334,[1]MaintenanceDuration_ID!$A$2:$B$5,2,FALSE)</f>
        <v>#N/A</v>
      </c>
      <c r="G334" s="1" t="e">
        <f>VLOOKUP(V334,[1]ExpectedDeliveryTime_ID!$A$2:$B$12,2,FALSE)</f>
        <v>#N/A</v>
      </c>
      <c r="H334" s="1" t="e">
        <f>VLOOKUP(AC334,[1]PaymentModel_ID!$A$2:$B$7,2,FALSE)</f>
        <v>#N/A</v>
      </c>
      <c r="I334" s="1" t="e">
        <f>VLOOKUP(W334,[1]ExpectedInvoiceDate_ID!$A$2:$B$12,2,FALSE)</f>
        <v>#N/A</v>
      </c>
      <c r="J334" s="1" t="e">
        <f>VLOOKUP(X334,[1]GrantOfRights_ID!$A$2:$B$7,2,FALSE)</f>
        <v>#N/A</v>
      </c>
      <c r="K334" s="1" t="str">
        <f>VLOOKUP(AE334,[1]Profile!$A$2:$B$8,2,FALSE)</f>
        <v>License</v>
      </c>
      <c r="M334" s="1" t="str">
        <f>VLOOKUP(Y334,[1]License_Method_ID!$A$2:$B$13,2,FALSE)</f>
        <v>FlexNet Publisher Application Activation Code</v>
      </c>
      <c r="N334" s="1" t="s">
        <v>47</v>
      </c>
      <c r="O334" s="1">
        <v>10</v>
      </c>
      <c r="P334" s="1">
        <v>50</v>
      </c>
      <c r="Q334" s="1" t="str">
        <f>VLOOKUP(AB334,[1]Operational_Profit_Type_ID!$A$2:$B$3,2,FALSE)</f>
        <v>Fix rate</v>
      </c>
      <c r="R334" s="1" t="s">
        <v>48</v>
      </c>
      <c r="T334" s="1" t="str">
        <f>VLOOKUP(AD334,[1]UpdateRightID!$A$2:$B$4,2,FALSE)</f>
        <v>UpdateRightByConfiguration</v>
      </c>
      <c r="U334" s="1" t="s">
        <v>48</v>
      </c>
      <c r="Y334" s="1">
        <v>1</v>
      </c>
      <c r="AB334" s="1">
        <v>1</v>
      </c>
      <c r="AD334" s="1">
        <v>1</v>
      </c>
      <c r="AE334" s="1">
        <v>1</v>
      </c>
    </row>
    <row r="335" spans="2:31" ht="165">
      <c r="B335" s="1" t="s">
        <v>918</v>
      </c>
      <c r="C335" t="s">
        <v>919</v>
      </c>
      <c r="D335" s="1" t="s">
        <v>920</v>
      </c>
      <c r="E335" s="1" t="e">
        <f>VLOOKUP(Z335,[1]LicenseDuration_ID!$A$2:$B$8,2,FALSE)</f>
        <v>#N/A</v>
      </c>
      <c r="F335" s="1" t="e">
        <f>VLOOKUP(AA335,[1]MaintenanceDuration_ID!$A$2:$B$5,2,FALSE)</f>
        <v>#N/A</v>
      </c>
      <c r="G335" s="1" t="e">
        <f>VLOOKUP(V335,[1]ExpectedDeliveryTime_ID!$A$2:$B$12,2,FALSE)</f>
        <v>#N/A</v>
      </c>
      <c r="H335" s="1" t="e">
        <f>VLOOKUP(AC335,[1]PaymentModel_ID!$A$2:$B$7,2,FALSE)</f>
        <v>#N/A</v>
      </c>
      <c r="I335" s="1" t="e">
        <f>VLOOKUP(W335,[1]ExpectedInvoiceDate_ID!$A$2:$B$12,2,FALSE)</f>
        <v>#N/A</v>
      </c>
      <c r="J335" s="1" t="e">
        <f>VLOOKUP(X335,[1]GrantOfRights_ID!$A$2:$B$7,2,FALSE)</f>
        <v>#N/A</v>
      </c>
      <c r="K335" s="1" t="str">
        <f>VLOOKUP(AE335,[1]Profile!$A$2:$B$8,2,FALSE)</f>
        <v>License</v>
      </c>
      <c r="M335" s="1" t="str">
        <f>VLOOKUP(Y335,[1]License_Method_ID!$A$2:$B$13,2,FALSE)</f>
        <v>FlexNet Publisher Server Activation Code</v>
      </c>
      <c r="N335" s="1" t="s">
        <v>47</v>
      </c>
      <c r="O335" s="1">
        <v>10</v>
      </c>
      <c r="P335" s="1">
        <v>50</v>
      </c>
      <c r="Q335" s="1" t="str">
        <f>VLOOKUP(AB335,[1]Operational_Profit_Type_ID!$A$2:$B$3,2,FALSE)</f>
        <v>Fix rate</v>
      </c>
      <c r="R335" s="1" t="s">
        <v>48</v>
      </c>
      <c r="T335" s="1" t="str">
        <f>VLOOKUP(AD335,[1]UpdateRightID!$A$2:$B$4,2,FALSE)</f>
        <v>UpdateRightByConfiguration</v>
      </c>
      <c r="U335" s="1" t="s">
        <v>48</v>
      </c>
      <c r="Y335" s="1">
        <v>2</v>
      </c>
      <c r="AB335" s="1">
        <v>1</v>
      </c>
      <c r="AD335" s="1">
        <v>1</v>
      </c>
      <c r="AE335" s="1">
        <v>1</v>
      </c>
    </row>
    <row r="336" spans="2:31" ht="150">
      <c r="B336" s="1" t="s">
        <v>921</v>
      </c>
      <c r="C336" t="s">
        <v>922</v>
      </c>
      <c r="D336" s="1" t="s">
        <v>923</v>
      </c>
      <c r="E336" s="1" t="e">
        <f>VLOOKUP(Z336,[1]LicenseDuration_ID!$A$2:$B$8,2,FALSE)</f>
        <v>#N/A</v>
      </c>
      <c r="F336" s="1" t="e">
        <f>VLOOKUP(AA336,[1]MaintenanceDuration_ID!$A$2:$B$5,2,FALSE)</f>
        <v>#N/A</v>
      </c>
      <c r="G336" s="1" t="e">
        <f>VLOOKUP(V336,[1]ExpectedDeliveryTime_ID!$A$2:$B$12,2,FALSE)</f>
        <v>#N/A</v>
      </c>
      <c r="H336" s="1" t="e">
        <f>VLOOKUP(AC336,[1]PaymentModel_ID!$A$2:$B$7,2,FALSE)</f>
        <v>#N/A</v>
      </c>
      <c r="I336" s="1" t="e">
        <f>VLOOKUP(W336,[1]ExpectedInvoiceDate_ID!$A$2:$B$12,2,FALSE)</f>
        <v>#N/A</v>
      </c>
      <c r="J336" s="1" t="e">
        <f>VLOOKUP(X336,[1]GrantOfRights_ID!$A$2:$B$7,2,FALSE)</f>
        <v>#N/A</v>
      </c>
      <c r="K336" s="1" t="str">
        <f>VLOOKUP(AE336,[1]Profile!$A$2:$B$8,2,FALSE)</f>
        <v>License</v>
      </c>
      <c r="M336" s="1" t="str">
        <f>VLOOKUP(Y336,[1]License_Method_ID!$A$2:$B$13,2,FALSE)</f>
        <v>FlexNet Publisher Server Activation Code</v>
      </c>
      <c r="N336" s="1" t="s">
        <v>47</v>
      </c>
      <c r="O336" s="1">
        <v>10</v>
      </c>
      <c r="P336" s="1">
        <v>50</v>
      </c>
      <c r="Q336" s="1" t="str">
        <f>VLOOKUP(AB336,[1]Operational_Profit_Type_ID!$A$2:$B$3,2,FALSE)</f>
        <v>Fix rate</v>
      </c>
      <c r="R336" s="1" t="s">
        <v>48</v>
      </c>
      <c r="T336" s="1" t="str">
        <f>VLOOKUP(AD336,[1]UpdateRightID!$A$2:$B$4,2,FALSE)</f>
        <v>UpdateRightByConfiguration</v>
      </c>
      <c r="U336" s="1" t="s">
        <v>48</v>
      </c>
      <c r="Y336" s="1">
        <v>2</v>
      </c>
      <c r="AB336" s="1">
        <v>1</v>
      </c>
      <c r="AD336" s="1">
        <v>1</v>
      </c>
      <c r="AE336" s="1">
        <v>1</v>
      </c>
    </row>
    <row r="337" spans="1:31" ht="195">
      <c r="B337" s="1" t="s">
        <v>924</v>
      </c>
      <c r="C337" t="s">
        <v>925</v>
      </c>
      <c r="D337" s="1" t="s">
        <v>926</v>
      </c>
      <c r="E337" s="1" t="e">
        <f>VLOOKUP(Z337,[1]LicenseDuration_ID!$A$2:$B$8,2,FALSE)</f>
        <v>#N/A</v>
      </c>
      <c r="F337" s="1" t="e">
        <f>VLOOKUP(AA337,[1]MaintenanceDuration_ID!$A$2:$B$5,2,FALSE)</f>
        <v>#N/A</v>
      </c>
      <c r="G337" s="1" t="e">
        <f>VLOOKUP(V337,[1]ExpectedDeliveryTime_ID!$A$2:$B$12,2,FALSE)</f>
        <v>#N/A</v>
      </c>
      <c r="H337" s="1" t="e">
        <f>VLOOKUP(AC337,[1]PaymentModel_ID!$A$2:$B$7,2,FALSE)</f>
        <v>#N/A</v>
      </c>
      <c r="I337" s="1" t="e">
        <f>VLOOKUP(W337,[1]ExpectedInvoiceDate_ID!$A$2:$B$12,2,FALSE)</f>
        <v>#N/A</v>
      </c>
      <c r="J337" s="1" t="e">
        <f>VLOOKUP(X337,[1]GrantOfRights_ID!$A$2:$B$7,2,FALSE)</f>
        <v>#N/A</v>
      </c>
      <c r="K337" s="1" t="str">
        <f>VLOOKUP(AE337,[1]Profile!$A$2:$B$8,2,FALSE)</f>
        <v>License</v>
      </c>
      <c r="M337" s="1" t="str">
        <f>VLOOKUP(Y337,[1]License_Method_ID!$A$2:$B$13,2,FALSE)</f>
        <v>FlexNet Publisher Application Activation Code</v>
      </c>
      <c r="N337" s="1" t="s">
        <v>47</v>
      </c>
      <c r="O337" s="1">
        <v>10</v>
      </c>
      <c r="P337" s="1">
        <v>50</v>
      </c>
      <c r="Q337" s="1" t="str">
        <f>VLOOKUP(AB337,[1]Operational_Profit_Type_ID!$A$2:$B$3,2,FALSE)</f>
        <v>Fix rate</v>
      </c>
      <c r="R337" s="1" t="s">
        <v>48</v>
      </c>
      <c r="T337" s="1" t="str">
        <f>VLOOKUP(AD337,[1]UpdateRightID!$A$2:$B$4,2,FALSE)</f>
        <v>none</v>
      </c>
      <c r="U337" s="1" t="s">
        <v>48</v>
      </c>
      <c r="Y337" s="1">
        <v>1</v>
      </c>
      <c r="AB337" s="1">
        <v>1</v>
      </c>
      <c r="AD337" s="1">
        <v>0</v>
      </c>
      <c r="AE337" s="1">
        <v>1</v>
      </c>
    </row>
    <row r="338" spans="1:31" ht="60">
      <c r="A338" s="1" t="s">
        <v>43</v>
      </c>
      <c r="B338" s="1" t="s">
        <v>927</v>
      </c>
      <c r="C338" t="s">
        <v>928</v>
      </c>
      <c r="D338" s="1" t="s">
        <v>929</v>
      </c>
      <c r="E338" s="1" t="str">
        <f>VLOOKUP(Z338,[1]LicenseDuration_ID!$A$2:$B$8,2,FALSE)</f>
        <v>n/a</v>
      </c>
      <c r="F338" s="1" t="str">
        <f>VLOOKUP(AA338,[1]MaintenanceDuration_ID!$A$2:$B$5,2,FALSE)</f>
        <v>n/a</v>
      </c>
      <c r="G338" s="1" t="str">
        <f>VLOOKUP(V338,[1]ExpectedDeliveryTime_ID!$A$2:$B$12,2,FALSE)</f>
        <v>FINALIZED PURCHASE PROCESS + 2 weeks</v>
      </c>
      <c r="H338" s="1" t="str">
        <f>VLOOKUP(AC338,[1]PaymentModel_ID!$A$2:$B$7,2,FALSE)</f>
        <v>One-time payment</v>
      </c>
      <c r="I338" s="1" t="str">
        <f>VLOOKUP(W338,[1]ExpectedInvoiceDate_ID!$A$2:$B$12,2,FALSE)</f>
        <v>With FINAL DELIVERY</v>
      </c>
      <c r="J338" s="1" t="str">
        <f>VLOOKUP(X338,[1]GrantOfRights_ID!$A$2:$B$7,2,FALSE)</f>
        <v>Evaluation and Demonstration License</v>
      </c>
      <c r="K338" s="1" t="str">
        <f>VLOOKUP(AE338,[1]Profile!$A$2:$B$8,2,FALSE)</f>
        <v>License</v>
      </c>
      <c r="M338" s="1" t="str">
        <f>VLOOKUP(Y338,[1]License_Method_ID!$A$2:$B$13,2,FALSE)</f>
        <v>no technical license protection</v>
      </c>
      <c r="N338" s="1" t="s">
        <v>47</v>
      </c>
      <c r="O338" s="1">
        <v>10</v>
      </c>
      <c r="P338" s="1">
        <v>50</v>
      </c>
      <c r="Q338" s="1" t="str">
        <f>VLOOKUP(AB338,[1]Operational_Profit_Type_ID!$A$2:$B$3,2,FALSE)</f>
        <v>Fix rate</v>
      </c>
      <c r="R338" s="1" t="s">
        <v>55</v>
      </c>
      <c r="S338" s="1">
        <v>30</v>
      </c>
      <c r="T338" s="1" t="str">
        <f>VLOOKUP(AD338,[1]UpdateRightID!$A$2:$B$4,2,FALSE)</f>
        <v>none</v>
      </c>
      <c r="U338" s="1" t="s">
        <v>48</v>
      </c>
      <c r="V338" s="1">
        <v>2</v>
      </c>
      <c r="W338" s="1">
        <v>7</v>
      </c>
      <c r="X338" s="1">
        <v>3</v>
      </c>
      <c r="Y338" s="1">
        <v>0</v>
      </c>
      <c r="Z338" s="1">
        <v>1</v>
      </c>
      <c r="AA338" s="1">
        <v>1</v>
      </c>
      <c r="AB338" s="1">
        <v>1</v>
      </c>
      <c r="AC338" s="1">
        <v>2</v>
      </c>
      <c r="AD338" s="1">
        <v>0</v>
      </c>
      <c r="AE338" s="1">
        <v>1</v>
      </c>
    </row>
    <row r="339" spans="1:31" ht="150">
      <c r="B339" s="1" t="s">
        <v>930</v>
      </c>
      <c r="C339" t="s">
        <v>931</v>
      </c>
      <c r="D339" s="1" t="s">
        <v>121</v>
      </c>
      <c r="E339" s="1" t="e">
        <f>VLOOKUP(Z339,[1]LicenseDuration_ID!$A$2:$B$8,2,FALSE)</f>
        <v>#N/A</v>
      </c>
      <c r="F339" s="1" t="e">
        <f>VLOOKUP(AA339,[1]MaintenanceDuration_ID!$A$2:$B$5,2,FALSE)</f>
        <v>#N/A</v>
      </c>
      <c r="G339" s="1" t="e">
        <f>VLOOKUP(V339,[1]ExpectedDeliveryTime_ID!$A$2:$B$12,2,FALSE)</f>
        <v>#N/A</v>
      </c>
      <c r="H339" s="1" t="e">
        <f>VLOOKUP(AC339,[1]PaymentModel_ID!$A$2:$B$7,2,FALSE)</f>
        <v>#N/A</v>
      </c>
      <c r="I339" s="1" t="e">
        <f>VLOOKUP(W339,[1]ExpectedInvoiceDate_ID!$A$2:$B$12,2,FALSE)</f>
        <v>#N/A</v>
      </c>
      <c r="J339" s="1" t="e">
        <f>VLOOKUP(X339,[1]GrantOfRights_ID!$A$2:$B$7,2,FALSE)</f>
        <v>#N/A</v>
      </c>
      <c r="K339" s="1" t="str">
        <f>VLOOKUP(AE339,[1]Profile!$A$2:$B$8,2,FALSE)</f>
        <v>License</v>
      </c>
      <c r="M339" s="1" t="str">
        <f>VLOOKUP(Y339,[1]License_Method_ID!$A$2:$B$13,2,FALSE)</f>
        <v>no technical license protection</v>
      </c>
      <c r="O339" s="1">
        <v>10</v>
      </c>
      <c r="P339" s="1">
        <v>50</v>
      </c>
      <c r="Q339" s="1" t="str">
        <f>VLOOKUP(AB339,[1]Operational_Profit_Type_ID!$A$2:$B$3,2,FALSE)</f>
        <v>Fix rate</v>
      </c>
      <c r="R339" s="1" t="s">
        <v>55</v>
      </c>
      <c r="T339" s="1" t="str">
        <f>VLOOKUP(AD339,[1]UpdateRightID!$A$2:$B$4,2,FALSE)</f>
        <v>none</v>
      </c>
      <c r="U339" s="1" t="s">
        <v>48</v>
      </c>
      <c r="Y339" s="1">
        <v>0</v>
      </c>
      <c r="AB339" s="1">
        <v>1</v>
      </c>
      <c r="AD339" s="1">
        <v>0</v>
      </c>
      <c r="AE339" s="1">
        <v>1</v>
      </c>
    </row>
    <row r="340" spans="1:31" ht="60">
      <c r="B340" s="1" t="s">
        <v>932</v>
      </c>
      <c r="C340" t="s">
        <v>933</v>
      </c>
      <c r="D340" s="1" t="s">
        <v>934</v>
      </c>
      <c r="E340" s="1" t="e">
        <f>VLOOKUP(Z340,[1]LicenseDuration_ID!$A$2:$B$8,2,FALSE)</f>
        <v>#N/A</v>
      </c>
      <c r="F340" s="1" t="e">
        <f>VLOOKUP(AA340,[1]MaintenanceDuration_ID!$A$2:$B$5,2,FALSE)</f>
        <v>#N/A</v>
      </c>
      <c r="G340" s="1" t="e">
        <f>VLOOKUP(V340,[1]ExpectedDeliveryTime_ID!$A$2:$B$12,2,FALSE)</f>
        <v>#N/A</v>
      </c>
      <c r="H340" s="1" t="e">
        <f>VLOOKUP(AC340,[1]PaymentModel_ID!$A$2:$B$7,2,FALSE)</f>
        <v>#N/A</v>
      </c>
      <c r="I340" s="1" t="e">
        <f>VLOOKUP(W340,[1]ExpectedInvoiceDate_ID!$A$2:$B$12,2,FALSE)</f>
        <v>#N/A</v>
      </c>
      <c r="J340" s="1" t="e">
        <f>VLOOKUP(X340,[1]GrantOfRights_ID!$A$2:$B$7,2,FALSE)</f>
        <v>#N/A</v>
      </c>
      <c r="K340" s="1" t="str">
        <f>VLOOKUP(AE340,[1]Profile!$A$2:$B$8,2,FALSE)</f>
        <v>Integration Package</v>
      </c>
      <c r="M340" s="1" t="str">
        <f>VLOOKUP(Y340,[1]License_Method_ID!$A$2:$B$13,2,FALSE)</f>
        <v>no technical license protection</v>
      </c>
      <c r="N340" s="1" t="s">
        <v>88</v>
      </c>
      <c r="O340" s="1">
        <v>10</v>
      </c>
      <c r="Q340" s="1" t="str">
        <f>VLOOKUP(AB340,[1]Operational_Profit_Type_ID!$A$2:$B$3,2,FALSE)</f>
        <v>Calculated</v>
      </c>
      <c r="R340" s="1" t="s">
        <v>55</v>
      </c>
      <c r="T340" s="1" t="str">
        <f>VLOOKUP(AD340,[1]UpdateRightID!$A$2:$B$4,2,FALSE)</f>
        <v>none</v>
      </c>
      <c r="U340" s="1" t="s">
        <v>48</v>
      </c>
      <c r="Y340" s="1">
        <v>0</v>
      </c>
      <c r="AB340" s="1">
        <v>2</v>
      </c>
      <c r="AD340" s="1">
        <v>0</v>
      </c>
      <c r="AE340" s="1">
        <v>2</v>
      </c>
    </row>
    <row r="341" spans="1:31" ht="105">
      <c r="B341" s="1" t="s">
        <v>935</v>
      </c>
      <c r="C341" t="s">
        <v>936</v>
      </c>
      <c r="D341" s="1" t="s">
        <v>937</v>
      </c>
      <c r="E341" s="1" t="e">
        <f>VLOOKUP(Z341,[1]LicenseDuration_ID!$A$2:$B$8,2,FALSE)</f>
        <v>#N/A</v>
      </c>
      <c r="F341" s="1" t="e">
        <f>VLOOKUP(AA341,[1]MaintenanceDuration_ID!$A$2:$B$5,2,FALSE)</f>
        <v>#N/A</v>
      </c>
      <c r="G341" s="1" t="e">
        <f>VLOOKUP(V341,[1]ExpectedDeliveryTime_ID!$A$2:$B$12,2,FALSE)</f>
        <v>#N/A</v>
      </c>
      <c r="H341" s="1" t="e">
        <f>VLOOKUP(AC341,[1]PaymentModel_ID!$A$2:$B$7,2,FALSE)</f>
        <v>#N/A</v>
      </c>
      <c r="I341" s="1" t="e">
        <f>VLOOKUP(W341,[1]ExpectedInvoiceDate_ID!$A$2:$B$12,2,FALSE)</f>
        <v>#N/A</v>
      </c>
      <c r="J341" s="1" t="e">
        <f>VLOOKUP(X341,[1]GrantOfRights_ID!$A$2:$B$7,2,FALSE)</f>
        <v>#N/A</v>
      </c>
      <c r="K341" s="1" t="str">
        <f>VLOOKUP(AE341,[1]Profile!$A$2:$B$8,2,FALSE)</f>
        <v>Integration Package</v>
      </c>
      <c r="M341" s="1" t="str">
        <f>VLOOKUP(Y341,[1]License_Method_ID!$A$2:$B$13,2,FALSE)</f>
        <v>no technical license protection</v>
      </c>
      <c r="N341" s="1" t="s">
        <v>88</v>
      </c>
      <c r="O341" s="1">
        <v>10</v>
      </c>
      <c r="Q341" s="1" t="str">
        <f>VLOOKUP(AB341,[1]Operational_Profit_Type_ID!$A$2:$B$3,2,FALSE)</f>
        <v>Calculated</v>
      </c>
      <c r="R341" s="1" t="s">
        <v>55</v>
      </c>
      <c r="T341" s="1" t="str">
        <f>VLOOKUP(AD341,[1]UpdateRightID!$A$2:$B$4,2,FALSE)</f>
        <v>none</v>
      </c>
      <c r="U341" s="1" t="s">
        <v>48</v>
      </c>
      <c r="Y341" s="1">
        <v>0</v>
      </c>
      <c r="AB341" s="1">
        <v>2</v>
      </c>
      <c r="AD341" s="1">
        <v>0</v>
      </c>
      <c r="AE341" s="1">
        <v>2</v>
      </c>
    </row>
    <row r="342" spans="1:31" ht="105">
      <c r="B342" s="1" t="s">
        <v>938</v>
      </c>
      <c r="C342" t="s">
        <v>939</v>
      </c>
      <c r="D342" s="1" t="s">
        <v>940</v>
      </c>
      <c r="E342" s="1" t="e">
        <f>VLOOKUP(Z342,[1]LicenseDuration_ID!$A$2:$B$8,2,FALSE)</f>
        <v>#N/A</v>
      </c>
      <c r="F342" s="1" t="e">
        <f>VLOOKUP(AA342,[1]MaintenanceDuration_ID!$A$2:$B$5,2,FALSE)</f>
        <v>#N/A</v>
      </c>
      <c r="G342" s="1" t="e">
        <f>VLOOKUP(V342,[1]ExpectedDeliveryTime_ID!$A$2:$B$12,2,FALSE)</f>
        <v>#N/A</v>
      </c>
      <c r="H342" s="1" t="e">
        <f>VLOOKUP(AC342,[1]PaymentModel_ID!$A$2:$B$7,2,FALSE)</f>
        <v>#N/A</v>
      </c>
      <c r="I342" s="1" t="e">
        <f>VLOOKUP(W342,[1]ExpectedInvoiceDate_ID!$A$2:$B$12,2,FALSE)</f>
        <v>#N/A</v>
      </c>
      <c r="J342" s="1" t="e">
        <f>VLOOKUP(X342,[1]GrantOfRights_ID!$A$2:$B$7,2,FALSE)</f>
        <v>#N/A</v>
      </c>
      <c r="K342" s="1" t="str">
        <f>VLOOKUP(AE342,[1]Profile!$A$2:$B$8,2,FALSE)</f>
        <v>Integration Package</v>
      </c>
      <c r="M342" s="1" t="str">
        <f>VLOOKUP(Y342,[1]License_Method_ID!$A$2:$B$13,2,FALSE)</f>
        <v>no technical license protection</v>
      </c>
      <c r="N342" s="1" t="s">
        <v>88</v>
      </c>
      <c r="O342" s="1">
        <v>10</v>
      </c>
      <c r="Q342" s="1" t="str">
        <f>VLOOKUP(AB342,[1]Operational_Profit_Type_ID!$A$2:$B$3,2,FALSE)</f>
        <v>Calculated</v>
      </c>
      <c r="R342" s="1" t="s">
        <v>55</v>
      </c>
      <c r="T342" s="1" t="str">
        <f>VLOOKUP(AD342,[1]UpdateRightID!$A$2:$B$4,2,FALSE)</f>
        <v>none</v>
      </c>
      <c r="U342" s="1" t="s">
        <v>48</v>
      </c>
      <c r="Y342" s="1">
        <v>0</v>
      </c>
      <c r="AB342" s="1">
        <v>2</v>
      </c>
      <c r="AD342" s="1">
        <v>0</v>
      </c>
      <c r="AE342" s="1">
        <v>2</v>
      </c>
    </row>
    <row r="343" spans="1:31" ht="75">
      <c r="B343" s="1" t="s">
        <v>941</v>
      </c>
      <c r="C343" t="s">
        <v>942</v>
      </c>
      <c r="D343" s="1" t="s">
        <v>943</v>
      </c>
      <c r="E343" s="1" t="e">
        <f>VLOOKUP(Z343,[1]LicenseDuration_ID!$A$2:$B$8,2,FALSE)</f>
        <v>#N/A</v>
      </c>
      <c r="F343" s="1" t="e">
        <f>VLOOKUP(AA343,[1]MaintenanceDuration_ID!$A$2:$B$5,2,FALSE)</f>
        <v>#N/A</v>
      </c>
      <c r="G343" s="1" t="e">
        <f>VLOOKUP(V343,[1]ExpectedDeliveryTime_ID!$A$2:$B$12,2,FALSE)</f>
        <v>#N/A</v>
      </c>
      <c r="H343" s="1" t="e">
        <f>VLOOKUP(AC343,[1]PaymentModel_ID!$A$2:$B$7,2,FALSE)</f>
        <v>#N/A</v>
      </c>
      <c r="I343" s="1" t="e">
        <f>VLOOKUP(W343,[1]ExpectedInvoiceDate_ID!$A$2:$B$12,2,FALSE)</f>
        <v>#N/A</v>
      </c>
      <c r="J343" s="1" t="e">
        <f>VLOOKUP(X343,[1]GrantOfRights_ID!$A$2:$B$7,2,FALSE)</f>
        <v>#N/A</v>
      </c>
      <c r="K343" s="1" t="str">
        <f>VLOOKUP(AE343,[1]Profile!$A$2:$B$8,2,FALSE)</f>
        <v>Integration Package</v>
      </c>
      <c r="M343" s="1" t="str">
        <f>VLOOKUP(Y343,[1]License_Method_ID!$A$2:$B$13,2,FALSE)</f>
        <v>no technical license protection</v>
      </c>
      <c r="N343" s="1" t="s">
        <v>88</v>
      </c>
      <c r="O343" s="1">
        <v>10</v>
      </c>
      <c r="Q343" s="1" t="str">
        <f>VLOOKUP(AB343,[1]Operational_Profit_Type_ID!$A$2:$B$3,2,FALSE)</f>
        <v>Calculated</v>
      </c>
      <c r="R343" s="1" t="s">
        <v>55</v>
      </c>
      <c r="T343" s="1" t="str">
        <f>VLOOKUP(AD343,[1]UpdateRightID!$A$2:$B$4,2,FALSE)</f>
        <v>none</v>
      </c>
      <c r="U343" s="1" t="s">
        <v>48</v>
      </c>
      <c r="Y343" s="1">
        <v>0</v>
      </c>
      <c r="AB343" s="1">
        <v>2</v>
      </c>
      <c r="AD343" s="1">
        <v>0</v>
      </c>
      <c r="AE343" s="1">
        <v>2</v>
      </c>
    </row>
    <row r="344" spans="1:31" ht="75">
      <c r="B344" s="1" t="s">
        <v>944</v>
      </c>
      <c r="C344" t="s">
        <v>945</v>
      </c>
      <c r="D344" s="1" t="s">
        <v>946</v>
      </c>
      <c r="E344" s="1" t="e">
        <f>VLOOKUP(Z344,[1]LicenseDuration_ID!$A$2:$B$8,2,FALSE)</f>
        <v>#N/A</v>
      </c>
      <c r="F344" s="1" t="e">
        <f>VLOOKUP(AA344,[1]MaintenanceDuration_ID!$A$2:$B$5,2,FALSE)</f>
        <v>#N/A</v>
      </c>
      <c r="G344" s="1" t="e">
        <f>VLOOKUP(V344,[1]ExpectedDeliveryTime_ID!$A$2:$B$12,2,FALSE)</f>
        <v>#N/A</v>
      </c>
      <c r="H344" s="1" t="e">
        <f>VLOOKUP(AC344,[1]PaymentModel_ID!$A$2:$B$7,2,FALSE)</f>
        <v>#N/A</v>
      </c>
      <c r="I344" s="1" t="e">
        <f>VLOOKUP(W344,[1]ExpectedInvoiceDate_ID!$A$2:$B$12,2,FALSE)</f>
        <v>#N/A</v>
      </c>
      <c r="J344" s="1" t="e">
        <f>VLOOKUP(X344,[1]GrantOfRights_ID!$A$2:$B$7,2,FALSE)</f>
        <v>#N/A</v>
      </c>
      <c r="K344" s="1" t="str">
        <f>VLOOKUP(AE344,[1]Profile!$A$2:$B$8,2,FALSE)</f>
        <v>Integration Package</v>
      </c>
      <c r="M344" s="1" t="str">
        <f>VLOOKUP(Y344,[1]License_Method_ID!$A$2:$B$13,2,FALSE)</f>
        <v>no technical license protection</v>
      </c>
      <c r="N344" s="1" t="s">
        <v>88</v>
      </c>
      <c r="O344" s="1">
        <v>10</v>
      </c>
      <c r="Q344" s="1" t="str">
        <f>VLOOKUP(AB344,[1]Operational_Profit_Type_ID!$A$2:$B$3,2,FALSE)</f>
        <v>Calculated</v>
      </c>
      <c r="R344" s="1" t="s">
        <v>55</v>
      </c>
      <c r="T344" s="1" t="str">
        <f>VLOOKUP(AD344,[1]UpdateRightID!$A$2:$B$4,2,FALSE)</f>
        <v>none</v>
      </c>
      <c r="U344" s="1" t="s">
        <v>48</v>
      </c>
      <c r="Y344" s="1">
        <v>0</v>
      </c>
      <c r="AB344" s="1">
        <v>2</v>
      </c>
      <c r="AD344" s="1">
        <v>0</v>
      </c>
      <c r="AE344" s="1">
        <v>2</v>
      </c>
    </row>
    <row r="345" spans="1:31" ht="60">
      <c r="B345" s="1" t="s">
        <v>947</v>
      </c>
      <c r="C345" t="s">
        <v>948</v>
      </c>
      <c r="D345" s="1" t="s">
        <v>949</v>
      </c>
      <c r="E345" s="1" t="e">
        <f>VLOOKUP(Z345,[1]LicenseDuration_ID!$A$2:$B$8,2,FALSE)</f>
        <v>#N/A</v>
      </c>
      <c r="F345" s="1" t="e">
        <f>VLOOKUP(AA345,[1]MaintenanceDuration_ID!$A$2:$B$5,2,FALSE)</f>
        <v>#N/A</v>
      </c>
      <c r="G345" s="1" t="e">
        <f>VLOOKUP(V345,[1]ExpectedDeliveryTime_ID!$A$2:$B$12,2,FALSE)</f>
        <v>#N/A</v>
      </c>
      <c r="H345" s="1" t="e">
        <f>VLOOKUP(AC345,[1]PaymentModel_ID!$A$2:$B$7,2,FALSE)</f>
        <v>#N/A</v>
      </c>
      <c r="I345" s="1" t="e">
        <f>VLOOKUP(W345,[1]ExpectedInvoiceDate_ID!$A$2:$B$12,2,FALSE)</f>
        <v>#N/A</v>
      </c>
      <c r="J345" s="1" t="e">
        <f>VLOOKUP(X345,[1]GrantOfRights_ID!$A$2:$B$7,2,FALSE)</f>
        <v>#N/A</v>
      </c>
      <c r="K345" s="1" t="str">
        <f>VLOOKUP(AE345,[1]Profile!$A$2:$B$8,2,FALSE)</f>
        <v>Integration Package</v>
      </c>
      <c r="M345" s="1" t="str">
        <f>VLOOKUP(Y345,[1]License_Method_ID!$A$2:$B$13,2,FALSE)</f>
        <v>no technical license protection</v>
      </c>
      <c r="N345" s="1" t="s">
        <v>88</v>
      </c>
      <c r="O345" s="1">
        <v>10</v>
      </c>
      <c r="Q345" s="1" t="str">
        <f>VLOOKUP(AB345,[1]Operational_Profit_Type_ID!$A$2:$B$3,2,FALSE)</f>
        <v>Calculated</v>
      </c>
      <c r="R345" s="1" t="s">
        <v>55</v>
      </c>
      <c r="T345" s="1" t="str">
        <f>VLOOKUP(AD345,[1]UpdateRightID!$A$2:$B$4,2,FALSE)</f>
        <v>none</v>
      </c>
      <c r="U345" s="1" t="s">
        <v>48</v>
      </c>
      <c r="Y345" s="1">
        <v>0</v>
      </c>
      <c r="AB345" s="1">
        <v>2</v>
      </c>
      <c r="AD345" s="1">
        <v>0</v>
      </c>
      <c r="AE345" s="1">
        <v>2</v>
      </c>
    </row>
    <row r="346" spans="1:31" ht="90">
      <c r="B346" s="1" t="s">
        <v>950</v>
      </c>
      <c r="C346" t="s">
        <v>951</v>
      </c>
      <c r="D346" s="1" t="s">
        <v>952</v>
      </c>
      <c r="E346" s="1" t="e">
        <f>VLOOKUP(Z346,[1]LicenseDuration_ID!$A$2:$B$8,2,FALSE)</f>
        <v>#N/A</v>
      </c>
      <c r="F346" s="1" t="e">
        <f>VLOOKUP(AA346,[1]MaintenanceDuration_ID!$A$2:$B$5,2,FALSE)</f>
        <v>#N/A</v>
      </c>
      <c r="G346" s="1" t="e">
        <f>VLOOKUP(V346,[1]ExpectedDeliveryTime_ID!$A$2:$B$12,2,FALSE)</f>
        <v>#N/A</v>
      </c>
      <c r="H346" s="1" t="e">
        <f>VLOOKUP(AC346,[1]PaymentModel_ID!$A$2:$B$7,2,FALSE)</f>
        <v>#N/A</v>
      </c>
      <c r="I346" s="1" t="e">
        <f>VLOOKUP(W346,[1]ExpectedInvoiceDate_ID!$A$2:$B$12,2,FALSE)</f>
        <v>#N/A</v>
      </c>
      <c r="J346" s="1" t="e">
        <f>VLOOKUP(X346,[1]GrantOfRights_ID!$A$2:$B$7,2,FALSE)</f>
        <v>#N/A</v>
      </c>
      <c r="K346" s="1" t="str">
        <f>VLOOKUP(AE346,[1]Profile!$A$2:$B$8,2,FALSE)</f>
        <v>Integration Package</v>
      </c>
      <c r="M346" s="1" t="str">
        <f>VLOOKUP(Y346,[1]License_Method_ID!$A$2:$B$13,2,FALSE)</f>
        <v>no technical license protection</v>
      </c>
      <c r="N346" s="1" t="s">
        <v>88</v>
      </c>
      <c r="O346" s="1">
        <v>10</v>
      </c>
      <c r="Q346" s="1" t="str">
        <f>VLOOKUP(AB346,[1]Operational_Profit_Type_ID!$A$2:$B$3,2,FALSE)</f>
        <v>Calculated</v>
      </c>
      <c r="R346" s="1" t="s">
        <v>55</v>
      </c>
      <c r="T346" s="1" t="str">
        <f>VLOOKUP(AD346,[1]UpdateRightID!$A$2:$B$4,2,FALSE)</f>
        <v>none</v>
      </c>
      <c r="U346" s="1" t="s">
        <v>48</v>
      </c>
      <c r="Y346" s="1">
        <v>0</v>
      </c>
      <c r="AB346" s="1">
        <v>2</v>
      </c>
      <c r="AD346" s="1">
        <v>0</v>
      </c>
      <c r="AE346" s="1">
        <v>2</v>
      </c>
    </row>
    <row r="347" spans="1:31" ht="120">
      <c r="B347" s="1" t="s">
        <v>953</v>
      </c>
      <c r="C347" t="s">
        <v>954</v>
      </c>
      <c r="D347" s="1" t="s">
        <v>955</v>
      </c>
      <c r="E347" s="1" t="e">
        <f>VLOOKUP(Z347,[1]LicenseDuration_ID!$A$2:$B$8,2,FALSE)</f>
        <v>#N/A</v>
      </c>
      <c r="F347" s="1" t="e">
        <f>VLOOKUP(AA347,[1]MaintenanceDuration_ID!$A$2:$B$5,2,FALSE)</f>
        <v>#N/A</v>
      </c>
      <c r="G347" s="1" t="e">
        <f>VLOOKUP(V347,[1]ExpectedDeliveryTime_ID!$A$2:$B$12,2,FALSE)</f>
        <v>#N/A</v>
      </c>
      <c r="H347" s="1" t="e">
        <f>VLOOKUP(AC347,[1]PaymentModel_ID!$A$2:$B$7,2,FALSE)</f>
        <v>#N/A</v>
      </c>
      <c r="I347" s="1" t="e">
        <f>VLOOKUP(W347,[1]ExpectedInvoiceDate_ID!$A$2:$B$12,2,FALSE)</f>
        <v>#N/A</v>
      </c>
      <c r="J347" s="1" t="e">
        <f>VLOOKUP(X347,[1]GrantOfRights_ID!$A$2:$B$7,2,FALSE)</f>
        <v>#N/A</v>
      </c>
      <c r="K347" s="1" t="str">
        <f>VLOOKUP(AE347,[1]Profile!$A$2:$B$8,2,FALSE)</f>
        <v>Integration Package</v>
      </c>
      <c r="M347" s="1" t="str">
        <f>VLOOKUP(Y347,[1]License_Method_ID!$A$2:$B$13,2,FALSE)</f>
        <v>no technical license protection</v>
      </c>
      <c r="N347" s="1" t="s">
        <v>88</v>
      </c>
      <c r="O347" s="1">
        <v>10</v>
      </c>
      <c r="Q347" s="1" t="str">
        <f>VLOOKUP(AB347,[1]Operational_Profit_Type_ID!$A$2:$B$3,2,FALSE)</f>
        <v>Calculated</v>
      </c>
      <c r="R347" s="1" t="s">
        <v>55</v>
      </c>
      <c r="T347" s="1" t="str">
        <f>VLOOKUP(AD347,[1]UpdateRightID!$A$2:$B$4,2,FALSE)</f>
        <v>none</v>
      </c>
      <c r="U347" s="1" t="s">
        <v>48</v>
      </c>
      <c r="Y347" s="1">
        <v>0</v>
      </c>
      <c r="AB347" s="1">
        <v>2</v>
      </c>
      <c r="AD347" s="1">
        <v>0</v>
      </c>
      <c r="AE347" s="1">
        <v>2</v>
      </c>
    </row>
    <row r="348" spans="1:31" ht="60">
      <c r="B348" s="1" t="s">
        <v>956</v>
      </c>
      <c r="C348" t="s">
        <v>957</v>
      </c>
      <c r="D348" s="1" t="s">
        <v>410</v>
      </c>
      <c r="E348" s="1" t="e">
        <f>VLOOKUP(Z348,[1]LicenseDuration_ID!$A$2:$B$8,2,FALSE)</f>
        <v>#N/A</v>
      </c>
      <c r="F348" s="1" t="e">
        <f>VLOOKUP(AA348,[1]MaintenanceDuration_ID!$A$2:$B$5,2,FALSE)</f>
        <v>#N/A</v>
      </c>
      <c r="G348" s="1" t="e">
        <f>VLOOKUP(V348,[1]ExpectedDeliveryTime_ID!$A$2:$B$12,2,FALSE)</f>
        <v>#N/A</v>
      </c>
      <c r="H348" s="1" t="e">
        <f>VLOOKUP(AC348,[1]PaymentModel_ID!$A$2:$B$7,2,FALSE)</f>
        <v>#N/A</v>
      </c>
      <c r="I348" s="1" t="e">
        <f>VLOOKUP(W348,[1]ExpectedInvoiceDate_ID!$A$2:$B$12,2,FALSE)</f>
        <v>#N/A</v>
      </c>
      <c r="J348" s="1" t="e">
        <f>VLOOKUP(X348,[1]GrantOfRights_ID!$A$2:$B$7,2,FALSE)</f>
        <v>#N/A</v>
      </c>
      <c r="K348" s="1" t="str">
        <f>VLOOKUP(AE348,[1]Profile!$A$2:$B$8,2,FALSE)</f>
        <v>License</v>
      </c>
      <c r="M348" s="1" t="str">
        <f>VLOOKUP(Y348,[1]License_Method_ID!$A$2:$B$13,2,FALSE)</f>
        <v>FlexNet Publisher Server Activation Code</v>
      </c>
      <c r="N348" s="1" t="s">
        <v>47</v>
      </c>
      <c r="O348" s="1">
        <v>10</v>
      </c>
      <c r="P348" s="1">
        <v>50</v>
      </c>
      <c r="Q348" s="1" t="str">
        <f>VLOOKUP(AB348,[1]Operational_Profit_Type_ID!$A$2:$B$3,2,FALSE)</f>
        <v>Fix rate</v>
      </c>
      <c r="R348" s="1" t="s">
        <v>48</v>
      </c>
      <c r="T348" s="1" t="str">
        <f>VLOOKUP(AD348,[1]UpdateRightID!$A$2:$B$4,2,FALSE)</f>
        <v>UpdateRightByConfiguration</v>
      </c>
      <c r="U348" s="1" t="s">
        <v>48</v>
      </c>
      <c r="Y348" s="1">
        <v>2</v>
      </c>
      <c r="AB348" s="1">
        <v>1</v>
      </c>
      <c r="AD348" s="1">
        <v>1</v>
      </c>
      <c r="AE348" s="1">
        <v>1</v>
      </c>
    </row>
    <row r="349" spans="1:31" ht="225">
      <c r="A349" s="1" t="s">
        <v>43</v>
      </c>
      <c r="B349" s="1" t="s">
        <v>958</v>
      </c>
      <c r="C349" t="s">
        <v>959</v>
      </c>
      <c r="D349" s="1" t="s">
        <v>960</v>
      </c>
      <c r="E349" s="1" t="str">
        <f>VLOOKUP(Z349,[1]LicenseDuration_ID!$A$2:$B$8,2,FALSE)</f>
        <v>perpetual</v>
      </c>
      <c r="F349" s="1" t="str">
        <f>VLOOKUP(AA349,[1]MaintenanceDuration_ID!$A$2:$B$5,2,FALSE)</f>
        <v>12 months</v>
      </c>
      <c r="G349" s="1" t="str">
        <f>VLOOKUP(V349,[1]ExpectedDeliveryTime_ID!$A$2:$B$12,2,FALSE)</f>
        <v>FINALIZED PURCHASE PROCESS + 2 weeks</v>
      </c>
      <c r="H349" s="1" t="str">
        <f>VLOOKUP(AC349,[1]PaymentModel_ID!$A$2:$B$7,2,FALSE)</f>
        <v>One-time payment</v>
      </c>
      <c r="I349" s="1" t="str">
        <f>VLOOKUP(W349,[1]ExpectedInvoiceDate_ID!$A$2:$B$12,2,FALSE)</f>
        <v>With FINAL DELIVERY</v>
      </c>
      <c r="J349" s="1" t="str">
        <f>VLOOKUP(X349,[1]GrantOfRights_ID!$A$2:$B$7,2,FALSE)</f>
        <v>Reproduction and Distribution License</v>
      </c>
      <c r="K349" s="1" t="str">
        <f>VLOOKUP(AE349,[1]Profile!$A$2:$B$8,2,FALSE)</f>
        <v>License</v>
      </c>
      <c r="M349" s="1" t="str">
        <f>VLOOKUP(Y349,[1]License_Method_ID!$A$2:$B$13,2,FALSE)</f>
        <v>no technical license protection</v>
      </c>
      <c r="N349" s="1" t="s">
        <v>47</v>
      </c>
      <c r="O349" s="1">
        <v>10</v>
      </c>
      <c r="P349" s="1">
        <v>50</v>
      </c>
      <c r="Q349" s="1" t="str">
        <f>VLOOKUP(AB349,[1]Operational_Profit_Type_ID!$A$2:$B$3,2,FALSE)</f>
        <v>Fix rate</v>
      </c>
      <c r="R349" s="1" t="s">
        <v>48</v>
      </c>
      <c r="T349" s="1" t="str">
        <f>VLOOKUP(AD349,[1]UpdateRightID!$A$2:$B$4,2,FALSE)</f>
        <v>UpdateRightByConfiguration</v>
      </c>
      <c r="U349" s="1" t="s">
        <v>48</v>
      </c>
      <c r="V349" s="1">
        <v>2</v>
      </c>
      <c r="W349" s="1">
        <v>7</v>
      </c>
      <c r="X349" s="1">
        <v>5</v>
      </c>
      <c r="Y349" s="1">
        <v>0</v>
      </c>
      <c r="Z349" s="1">
        <v>6</v>
      </c>
      <c r="AA349" s="1">
        <v>3</v>
      </c>
      <c r="AB349" s="1">
        <v>1</v>
      </c>
      <c r="AC349" s="1">
        <v>2</v>
      </c>
      <c r="AD349" s="1">
        <v>1</v>
      </c>
      <c r="AE349" s="1">
        <v>1</v>
      </c>
    </row>
    <row r="350" spans="1:31" ht="60">
      <c r="B350" s="1" t="s">
        <v>961</v>
      </c>
      <c r="C350" t="s">
        <v>962</v>
      </c>
      <c r="D350" s="1" t="s">
        <v>963</v>
      </c>
      <c r="E350" s="1" t="e">
        <f>VLOOKUP(Z350,[1]LicenseDuration_ID!$A$2:$B$8,2,FALSE)</f>
        <v>#N/A</v>
      </c>
      <c r="F350" s="1" t="e">
        <f>VLOOKUP(AA350,[1]MaintenanceDuration_ID!$A$2:$B$5,2,FALSE)</f>
        <v>#N/A</v>
      </c>
      <c r="G350" s="1" t="e">
        <f>VLOOKUP(V350,[1]ExpectedDeliveryTime_ID!$A$2:$B$12,2,FALSE)</f>
        <v>#N/A</v>
      </c>
      <c r="H350" s="1" t="e">
        <f>VLOOKUP(AC350,[1]PaymentModel_ID!$A$2:$B$7,2,FALSE)</f>
        <v>#N/A</v>
      </c>
      <c r="I350" s="1" t="e">
        <f>VLOOKUP(W350,[1]ExpectedInvoiceDate_ID!$A$2:$B$12,2,FALSE)</f>
        <v>#N/A</v>
      </c>
      <c r="J350" s="1" t="e">
        <f>VLOOKUP(X350,[1]GrantOfRights_ID!$A$2:$B$7,2,FALSE)</f>
        <v>#N/A</v>
      </c>
      <c r="K350" s="1" t="str">
        <f>VLOOKUP(AE350,[1]Profile!$A$2:$B$8,2,FALSE)</f>
        <v>Qualification Package</v>
      </c>
      <c r="M350" s="1" t="str">
        <f>VLOOKUP(Y350,[1]License_Method_ID!$A$2:$B$13,2,FALSE)</f>
        <v>no technical license protection</v>
      </c>
      <c r="N350" s="1" t="s">
        <v>88</v>
      </c>
      <c r="O350" s="1">
        <v>10</v>
      </c>
      <c r="Q350" s="1" t="str">
        <f>VLOOKUP(AB350,[1]Operational_Profit_Type_ID!$A$2:$B$3,2,FALSE)</f>
        <v>Calculated</v>
      </c>
      <c r="R350" s="1" t="s">
        <v>55</v>
      </c>
      <c r="T350" s="1" t="str">
        <f>VLOOKUP(AD350,[1]UpdateRightID!$A$2:$B$4,2,FALSE)</f>
        <v>none</v>
      </c>
      <c r="U350" s="1" t="s">
        <v>48</v>
      </c>
      <c r="Y350" s="1">
        <v>0</v>
      </c>
      <c r="AB350" s="1">
        <v>2</v>
      </c>
      <c r="AD350" s="1">
        <v>0</v>
      </c>
      <c r="AE350" s="1">
        <v>3</v>
      </c>
    </row>
    <row r="351" spans="1:31" ht="45">
      <c r="B351" s="1" t="s">
        <v>964</v>
      </c>
      <c r="C351" t="s">
        <v>965</v>
      </c>
      <c r="D351" s="1" t="s">
        <v>966</v>
      </c>
      <c r="E351" s="1" t="e">
        <f>VLOOKUP(Z351,[1]LicenseDuration_ID!$A$2:$B$8,2,FALSE)</f>
        <v>#N/A</v>
      </c>
      <c r="F351" s="1" t="e">
        <f>VLOOKUP(AA351,[1]MaintenanceDuration_ID!$A$2:$B$5,2,FALSE)</f>
        <v>#N/A</v>
      </c>
      <c r="G351" s="1" t="e">
        <f>VLOOKUP(V351,[1]ExpectedDeliveryTime_ID!$A$2:$B$12,2,FALSE)</f>
        <v>#N/A</v>
      </c>
      <c r="H351" s="1" t="e">
        <f>VLOOKUP(AC351,[1]PaymentModel_ID!$A$2:$B$7,2,FALSE)</f>
        <v>#N/A</v>
      </c>
      <c r="I351" s="1" t="e">
        <f>VLOOKUP(W351,[1]ExpectedInvoiceDate_ID!$A$2:$B$12,2,FALSE)</f>
        <v>#N/A</v>
      </c>
      <c r="J351" s="1" t="e">
        <f>VLOOKUP(X351,[1]GrantOfRights_ID!$A$2:$B$7,2,FALSE)</f>
        <v>#N/A</v>
      </c>
      <c r="K351" s="1" t="str">
        <f>VLOOKUP(AE351,[1]Profile!$A$2:$B$8,2,FALSE)</f>
        <v>Porting</v>
      </c>
      <c r="M351" s="1" t="str">
        <f>VLOOKUP(Y351,[1]License_Method_ID!$A$2:$B$13,2,FALSE)</f>
        <v>no technical license protection</v>
      </c>
      <c r="N351" s="1" t="s">
        <v>88</v>
      </c>
      <c r="O351" s="1">
        <v>10</v>
      </c>
      <c r="Q351" s="1" t="str">
        <f>VLOOKUP(AB351,[1]Operational_Profit_Type_ID!$A$2:$B$3,2,FALSE)</f>
        <v>Calculated</v>
      </c>
      <c r="R351" s="1" t="s">
        <v>55</v>
      </c>
      <c r="T351" s="1" t="str">
        <f>VLOOKUP(AD351,[1]UpdateRightID!$A$2:$B$4,2,FALSE)</f>
        <v>none</v>
      </c>
      <c r="U351" s="1" t="s">
        <v>48</v>
      </c>
      <c r="Y351" s="1">
        <v>0</v>
      </c>
      <c r="AB351" s="1">
        <v>2</v>
      </c>
      <c r="AD351" s="1">
        <v>0</v>
      </c>
      <c r="AE351" s="1">
        <v>4</v>
      </c>
    </row>
    <row r="352" spans="1:31" ht="45">
      <c r="B352" s="1" t="s">
        <v>967</v>
      </c>
      <c r="C352" t="s">
        <v>968</v>
      </c>
      <c r="D352" s="1" t="s">
        <v>969</v>
      </c>
      <c r="E352" s="1" t="e">
        <f>VLOOKUP(Z352,[1]LicenseDuration_ID!$A$2:$B$8,2,FALSE)</f>
        <v>#N/A</v>
      </c>
      <c r="F352" s="1" t="e">
        <f>VLOOKUP(AA352,[1]MaintenanceDuration_ID!$A$2:$B$5,2,FALSE)</f>
        <v>#N/A</v>
      </c>
      <c r="G352" s="1" t="e">
        <f>VLOOKUP(V352,[1]ExpectedDeliveryTime_ID!$A$2:$B$12,2,FALSE)</f>
        <v>#N/A</v>
      </c>
      <c r="H352" s="1" t="e">
        <f>VLOOKUP(AC352,[1]PaymentModel_ID!$A$2:$B$7,2,FALSE)</f>
        <v>#N/A</v>
      </c>
      <c r="I352" s="1" t="e">
        <f>VLOOKUP(W352,[1]ExpectedInvoiceDate_ID!$A$2:$B$12,2,FALSE)</f>
        <v>#N/A</v>
      </c>
      <c r="J352" s="1" t="e">
        <f>VLOOKUP(X352,[1]GrantOfRights_ID!$A$2:$B$7,2,FALSE)</f>
        <v>#N/A</v>
      </c>
      <c r="K352" s="1" t="str">
        <f>VLOOKUP(AE352,[1]Profile!$A$2:$B$8,2,FALSE)</f>
        <v>Porting</v>
      </c>
      <c r="M352" s="1" t="str">
        <f>VLOOKUP(Y352,[1]License_Method_ID!$A$2:$B$13,2,FALSE)</f>
        <v>no technical license protection</v>
      </c>
      <c r="N352" s="1" t="s">
        <v>88</v>
      </c>
      <c r="O352" s="1">
        <v>10</v>
      </c>
      <c r="Q352" s="1" t="str">
        <f>VLOOKUP(AB352,[1]Operational_Profit_Type_ID!$A$2:$B$3,2,FALSE)</f>
        <v>Calculated</v>
      </c>
      <c r="R352" s="1" t="s">
        <v>55</v>
      </c>
      <c r="T352" s="1" t="str">
        <f>VLOOKUP(AD352,[1]UpdateRightID!$A$2:$B$4,2,FALSE)</f>
        <v>none</v>
      </c>
      <c r="U352" s="1" t="s">
        <v>48</v>
      </c>
      <c r="Y352" s="1">
        <v>0</v>
      </c>
      <c r="AB352" s="1">
        <v>2</v>
      </c>
      <c r="AD352" s="1">
        <v>0</v>
      </c>
      <c r="AE352" s="1">
        <v>4</v>
      </c>
    </row>
    <row r="353" spans="2:31" ht="45">
      <c r="B353" s="1" t="s">
        <v>970</v>
      </c>
      <c r="C353" t="s">
        <v>971</v>
      </c>
      <c r="D353" s="1" t="s">
        <v>972</v>
      </c>
      <c r="E353" s="1" t="e">
        <f>VLOOKUP(Z353,[1]LicenseDuration_ID!$A$2:$B$8,2,FALSE)</f>
        <v>#N/A</v>
      </c>
      <c r="F353" s="1" t="e">
        <f>VLOOKUP(AA353,[1]MaintenanceDuration_ID!$A$2:$B$5,2,FALSE)</f>
        <v>#N/A</v>
      </c>
      <c r="G353" s="1" t="e">
        <f>VLOOKUP(V353,[1]ExpectedDeliveryTime_ID!$A$2:$B$12,2,FALSE)</f>
        <v>#N/A</v>
      </c>
      <c r="H353" s="1" t="e">
        <f>VLOOKUP(AC353,[1]PaymentModel_ID!$A$2:$B$7,2,FALSE)</f>
        <v>#N/A</v>
      </c>
      <c r="I353" s="1" t="e">
        <f>VLOOKUP(W353,[1]ExpectedInvoiceDate_ID!$A$2:$B$12,2,FALSE)</f>
        <v>#N/A</v>
      </c>
      <c r="J353" s="1" t="e">
        <f>VLOOKUP(X353,[1]GrantOfRights_ID!$A$2:$B$7,2,FALSE)</f>
        <v>#N/A</v>
      </c>
      <c r="K353" s="1" t="str">
        <f>VLOOKUP(AE353,[1]Profile!$A$2:$B$8,2,FALSE)</f>
        <v>Porting</v>
      </c>
      <c r="M353" s="1" t="str">
        <f>VLOOKUP(Y353,[1]License_Method_ID!$A$2:$B$13,2,FALSE)</f>
        <v>no technical license protection</v>
      </c>
      <c r="N353" s="1" t="s">
        <v>88</v>
      </c>
      <c r="O353" s="1">
        <v>10</v>
      </c>
      <c r="Q353" s="1" t="str">
        <f>VLOOKUP(AB353,[1]Operational_Profit_Type_ID!$A$2:$B$3,2,FALSE)</f>
        <v>Calculated</v>
      </c>
      <c r="R353" s="1" t="s">
        <v>55</v>
      </c>
      <c r="T353" s="1" t="str">
        <f>VLOOKUP(AD353,[1]UpdateRightID!$A$2:$B$4,2,FALSE)</f>
        <v>none</v>
      </c>
      <c r="U353" s="1" t="s">
        <v>48</v>
      </c>
      <c r="Y353" s="1">
        <v>0</v>
      </c>
      <c r="AB353" s="1">
        <v>2</v>
      </c>
      <c r="AD353" s="1">
        <v>0</v>
      </c>
      <c r="AE353" s="1">
        <v>4</v>
      </c>
    </row>
    <row r="354" spans="2:31" ht="45">
      <c r="B354" s="1" t="s">
        <v>973</v>
      </c>
      <c r="C354" t="s">
        <v>974</v>
      </c>
      <c r="D354" s="1" t="s">
        <v>975</v>
      </c>
      <c r="E354" s="1" t="e">
        <f>VLOOKUP(Z354,[1]LicenseDuration_ID!$A$2:$B$8,2,FALSE)</f>
        <v>#N/A</v>
      </c>
      <c r="F354" s="1" t="e">
        <f>VLOOKUP(AA354,[1]MaintenanceDuration_ID!$A$2:$B$5,2,FALSE)</f>
        <v>#N/A</v>
      </c>
      <c r="G354" s="1" t="e">
        <f>VLOOKUP(V354,[1]ExpectedDeliveryTime_ID!$A$2:$B$12,2,FALSE)</f>
        <v>#N/A</v>
      </c>
      <c r="H354" s="1" t="e">
        <f>VLOOKUP(AC354,[1]PaymentModel_ID!$A$2:$B$7,2,FALSE)</f>
        <v>#N/A</v>
      </c>
      <c r="I354" s="1" t="e">
        <f>VLOOKUP(W354,[1]ExpectedInvoiceDate_ID!$A$2:$B$12,2,FALSE)</f>
        <v>#N/A</v>
      </c>
      <c r="J354" s="1" t="e">
        <f>VLOOKUP(X354,[1]GrantOfRights_ID!$A$2:$B$7,2,FALSE)</f>
        <v>#N/A</v>
      </c>
      <c r="K354" s="1" t="str">
        <f>VLOOKUP(AE354,[1]Profile!$A$2:$B$8,2,FALSE)</f>
        <v>Porting</v>
      </c>
      <c r="M354" s="1" t="str">
        <f>VLOOKUP(Y354,[1]License_Method_ID!$A$2:$B$13,2,FALSE)</f>
        <v>no technical license protection</v>
      </c>
      <c r="N354" s="1" t="s">
        <v>88</v>
      </c>
      <c r="O354" s="1">
        <v>10</v>
      </c>
      <c r="Q354" s="1" t="str">
        <f>VLOOKUP(AB354,[1]Operational_Profit_Type_ID!$A$2:$B$3,2,FALSE)</f>
        <v>Calculated</v>
      </c>
      <c r="R354" s="1" t="s">
        <v>55</v>
      </c>
      <c r="T354" s="1" t="str">
        <f>VLOOKUP(AD354,[1]UpdateRightID!$A$2:$B$4,2,FALSE)</f>
        <v>none</v>
      </c>
      <c r="U354" s="1" t="s">
        <v>48</v>
      </c>
      <c r="Y354" s="1">
        <v>0</v>
      </c>
      <c r="AB354" s="1">
        <v>2</v>
      </c>
      <c r="AD354" s="1">
        <v>0</v>
      </c>
      <c r="AE354" s="1">
        <v>4</v>
      </c>
    </row>
    <row r="355" spans="2:31" ht="60">
      <c r="B355" s="1" t="s">
        <v>976</v>
      </c>
      <c r="C355" t="s">
        <v>977</v>
      </c>
      <c r="D355" s="1" t="s">
        <v>963</v>
      </c>
      <c r="E355" s="1" t="e">
        <f>VLOOKUP(Z355,[1]LicenseDuration_ID!$A$2:$B$8,2,FALSE)</f>
        <v>#N/A</v>
      </c>
      <c r="F355" s="1" t="e">
        <f>VLOOKUP(AA355,[1]MaintenanceDuration_ID!$A$2:$B$5,2,FALSE)</f>
        <v>#N/A</v>
      </c>
      <c r="G355" s="1" t="e">
        <f>VLOOKUP(V355,[1]ExpectedDeliveryTime_ID!$A$2:$B$12,2,FALSE)</f>
        <v>#N/A</v>
      </c>
      <c r="H355" s="1" t="e">
        <f>VLOOKUP(AC355,[1]PaymentModel_ID!$A$2:$B$7,2,FALSE)</f>
        <v>#N/A</v>
      </c>
      <c r="I355" s="1" t="e">
        <f>VLOOKUP(W355,[1]ExpectedInvoiceDate_ID!$A$2:$B$12,2,FALSE)</f>
        <v>#N/A</v>
      </c>
      <c r="J355" s="1" t="e">
        <f>VLOOKUP(X355,[1]GrantOfRights_ID!$A$2:$B$7,2,FALSE)</f>
        <v>#N/A</v>
      </c>
      <c r="K355" s="1" t="str">
        <f>VLOOKUP(AE355,[1]Profile!$A$2:$B$8,2,FALSE)</f>
        <v>Porting</v>
      </c>
      <c r="M355" s="1" t="str">
        <f>VLOOKUP(Y355,[1]License_Method_ID!$A$2:$B$13,2,FALSE)</f>
        <v>no technical license protection</v>
      </c>
      <c r="N355" s="1" t="s">
        <v>88</v>
      </c>
      <c r="O355" s="1">
        <v>10</v>
      </c>
      <c r="Q355" s="1" t="str">
        <f>VLOOKUP(AB355,[1]Operational_Profit_Type_ID!$A$2:$B$3,2,FALSE)</f>
        <v>Calculated</v>
      </c>
      <c r="R355" s="1" t="s">
        <v>55</v>
      </c>
      <c r="T355" s="1" t="str">
        <f>VLOOKUP(AD355,[1]UpdateRightID!$A$2:$B$4,2,FALSE)</f>
        <v>none</v>
      </c>
      <c r="U355" s="1" t="s">
        <v>48</v>
      </c>
      <c r="Y355" s="1">
        <v>0</v>
      </c>
      <c r="AB355" s="1">
        <v>2</v>
      </c>
      <c r="AD355" s="1">
        <v>0</v>
      </c>
      <c r="AE355" s="1">
        <v>4</v>
      </c>
    </row>
    <row r="356" spans="2:31" ht="45">
      <c r="B356" s="1" t="s">
        <v>978</v>
      </c>
      <c r="C356" t="s">
        <v>979</v>
      </c>
      <c r="D356" s="1" t="s">
        <v>966</v>
      </c>
      <c r="E356" s="1" t="e">
        <f>VLOOKUP(Z356,[1]LicenseDuration_ID!$A$2:$B$8,2,FALSE)</f>
        <v>#N/A</v>
      </c>
      <c r="F356" s="1" t="e">
        <f>VLOOKUP(AA356,[1]MaintenanceDuration_ID!$A$2:$B$5,2,FALSE)</f>
        <v>#N/A</v>
      </c>
      <c r="G356" s="1" t="e">
        <f>VLOOKUP(V356,[1]ExpectedDeliveryTime_ID!$A$2:$B$12,2,FALSE)</f>
        <v>#N/A</v>
      </c>
      <c r="H356" s="1" t="e">
        <f>VLOOKUP(AC356,[1]PaymentModel_ID!$A$2:$B$7,2,FALSE)</f>
        <v>#N/A</v>
      </c>
      <c r="I356" s="1" t="e">
        <f>VLOOKUP(W356,[1]ExpectedInvoiceDate_ID!$A$2:$B$12,2,FALSE)</f>
        <v>#N/A</v>
      </c>
      <c r="J356" s="1" t="e">
        <f>VLOOKUP(X356,[1]GrantOfRights_ID!$A$2:$B$7,2,FALSE)</f>
        <v>#N/A</v>
      </c>
      <c r="K356" s="1" t="str">
        <f>VLOOKUP(AE356,[1]Profile!$A$2:$B$8,2,FALSE)</f>
        <v>Porting</v>
      </c>
      <c r="M356" s="1" t="str">
        <f>VLOOKUP(Y356,[1]License_Method_ID!$A$2:$B$13,2,FALSE)</f>
        <v>no technical license protection</v>
      </c>
      <c r="N356" s="1" t="s">
        <v>88</v>
      </c>
      <c r="O356" s="1">
        <v>10</v>
      </c>
      <c r="Q356" s="1" t="str">
        <f>VLOOKUP(AB356,[1]Operational_Profit_Type_ID!$A$2:$B$3,2,FALSE)</f>
        <v>Calculated</v>
      </c>
      <c r="R356" s="1" t="s">
        <v>55</v>
      </c>
      <c r="T356" s="1" t="str">
        <f>VLOOKUP(AD356,[1]UpdateRightID!$A$2:$B$4,2,FALSE)</f>
        <v>none</v>
      </c>
      <c r="U356" s="1" t="s">
        <v>48</v>
      </c>
      <c r="Y356" s="1">
        <v>0</v>
      </c>
      <c r="AB356" s="1">
        <v>2</v>
      </c>
      <c r="AD356" s="1">
        <v>0</v>
      </c>
      <c r="AE356" s="1">
        <v>4</v>
      </c>
    </row>
    <row r="357" spans="2:31" ht="45">
      <c r="B357" s="1" t="s">
        <v>980</v>
      </c>
      <c r="C357" t="s">
        <v>981</v>
      </c>
      <c r="D357" s="1" t="s">
        <v>969</v>
      </c>
      <c r="E357" s="1" t="e">
        <f>VLOOKUP(Z357,[1]LicenseDuration_ID!$A$2:$B$8,2,FALSE)</f>
        <v>#N/A</v>
      </c>
      <c r="F357" s="1" t="e">
        <f>VLOOKUP(AA357,[1]MaintenanceDuration_ID!$A$2:$B$5,2,FALSE)</f>
        <v>#N/A</v>
      </c>
      <c r="G357" s="1" t="e">
        <f>VLOOKUP(V357,[1]ExpectedDeliveryTime_ID!$A$2:$B$12,2,FALSE)</f>
        <v>#N/A</v>
      </c>
      <c r="H357" s="1" t="e">
        <f>VLOOKUP(AC357,[1]PaymentModel_ID!$A$2:$B$7,2,FALSE)</f>
        <v>#N/A</v>
      </c>
      <c r="I357" s="1" t="e">
        <f>VLOOKUP(W357,[1]ExpectedInvoiceDate_ID!$A$2:$B$12,2,FALSE)</f>
        <v>#N/A</v>
      </c>
      <c r="J357" s="1" t="e">
        <f>VLOOKUP(X357,[1]GrantOfRights_ID!$A$2:$B$7,2,FALSE)</f>
        <v>#N/A</v>
      </c>
      <c r="K357" s="1" t="str">
        <f>VLOOKUP(AE357,[1]Profile!$A$2:$B$8,2,FALSE)</f>
        <v>Porting</v>
      </c>
      <c r="M357" s="1" t="str">
        <f>VLOOKUP(Y357,[1]License_Method_ID!$A$2:$B$13,2,FALSE)</f>
        <v>no technical license protection</v>
      </c>
      <c r="N357" s="1" t="s">
        <v>88</v>
      </c>
      <c r="O357" s="1">
        <v>10</v>
      </c>
      <c r="Q357" s="1" t="str">
        <f>VLOOKUP(AB357,[1]Operational_Profit_Type_ID!$A$2:$B$3,2,FALSE)</f>
        <v>Calculated</v>
      </c>
      <c r="R357" s="1" t="s">
        <v>55</v>
      </c>
      <c r="T357" s="1" t="str">
        <f>VLOOKUP(AD357,[1]UpdateRightID!$A$2:$B$4,2,FALSE)</f>
        <v>none</v>
      </c>
      <c r="U357" s="1" t="s">
        <v>48</v>
      </c>
      <c r="Y357" s="1">
        <v>0</v>
      </c>
      <c r="AB357" s="1">
        <v>2</v>
      </c>
      <c r="AD357" s="1">
        <v>0</v>
      </c>
      <c r="AE357" s="1">
        <v>4</v>
      </c>
    </row>
    <row r="358" spans="2:31" ht="45">
      <c r="B358" s="1" t="s">
        <v>982</v>
      </c>
      <c r="C358" t="s">
        <v>983</v>
      </c>
      <c r="D358" s="1" t="s">
        <v>975</v>
      </c>
      <c r="E358" s="1" t="e">
        <f>VLOOKUP(Z358,[1]LicenseDuration_ID!$A$2:$B$8,2,FALSE)</f>
        <v>#N/A</v>
      </c>
      <c r="F358" s="1" t="e">
        <f>VLOOKUP(AA358,[1]MaintenanceDuration_ID!$A$2:$B$5,2,FALSE)</f>
        <v>#N/A</v>
      </c>
      <c r="G358" s="1" t="e">
        <f>VLOOKUP(V358,[1]ExpectedDeliveryTime_ID!$A$2:$B$12,2,FALSE)</f>
        <v>#N/A</v>
      </c>
      <c r="H358" s="1" t="e">
        <f>VLOOKUP(AC358,[1]PaymentModel_ID!$A$2:$B$7,2,FALSE)</f>
        <v>#N/A</v>
      </c>
      <c r="I358" s="1" t="e">
        <f>VLOOKUP(W358,[1]ExpectedInvoiceDate_ID!$A$2:$B$12,2,FALSE)</f>
        <v>#N/A</v>
      </c>
      <c r="J358" s="1" t="e">
        <f>VLOOKUP(X358,[1]GrantOfRights_ID!$A$2:$B$7,2,FALSE)</f>
        <v>#N/A</v>
      </c>
      <c r="K358" s="1" t="str">
        <f>VLOOKUP(AE358,[1]Profile!$A$2:$B$8,2,FALSE)</f>
        <v>Porting</v>
      </c>
      <c r="M358" s="1" t="str">
        <f>VLOOKUP(Y358,[1]License_Method_ID!$A$2:$B$13,2,FALSE)</f>
        <v>no technical license protection</v>
      </c>
      <c r="N358" s="1" t="s">
        <v>88</v>
      </c>
      <c r="O358" s="1">
        <v>10</v>
      </c>
      <c r="Q358" s="1" t="str">
        <f>VLOOKUP(AB358,[1]Operational_Profit_Type_ID!$A$2:$B$3,2,FALSE)</f>
        <v>Calculated</v>
      </c>
      <c r="R358" s="1" t="s">
        <v>55</v>
      </c>
      <c r="T358" s="1" t="str">
        <f>VLOOKUP(AD358,[1]UpdateRightID!$A$2:$B$4,2,FALSE)</f>
        <v>none</v>
      </c>
      <c r="U358" s="1" t="s">
        <v>48</v>
      </c>
      <c r="Y358" s="1">
        <v>0</v>
      </c>
      <c r="AB358" s="1">
        <v>2</v>
      </c>
      <c r="AD358" s="1">
        <v>0</v>
      </c>
      <c r="AE358" s="1">
        <v>4</v>
      </c>
    </row>
    <row r="359" spans="2:31" ht="45">
      <c r="B359" s="1" t="s">
        <v>984</v>
      </c>
      <c r="C359" t="s">
        <v>985</v>
      </c>
      <c r="D359" s="1" t="s">
        <v>972</v>
      </c>
      <c r="E359" s="1" t="e">
        <f>VLOOKUP(Z359,[1]LicenseDuration_ID!$A$2:$B$8,2,FALSE)</f>
        <v>#N/A</v>
      </c>
      <c r="F359" s="1" t="e">
        <f>VLOOKUP(AA359,[1]MaintenanceDuration_ID!$A$2:$B$5,2,FALSE)</f>
        <v>#N/A</v>
      </c>
      <c r="G359" s="1" t="e">
        <f>VLOOKUP(V359,[1]ExpectedDeliveryTime_ID!$A$2:$B$12,2,FALSE)</f>
        <v>#N/A</v>
      </c>
      <c r="H359" s="1" t="e">
        <f>VLOOKUP(AC359,[1]PaymentModel_ID!$A$2:$B$7,2,FALSE)</f>
        <v>#N/A</v>
      </c>
      <c r="I359" s="1" t="e">
        <f>VLOOKUP(W359,[1]ExpectedInvoiceDate_ID!$A$2:$B$12,2,FALSE)</f>
        <v>#N/A</v>
      </c>
      <c r="J359" s="1" t="e">
        <f>VLOOKUP(X359,[1]GrantOfRights_ID!$A$2:$B$7,2,FALSE)</f>
        <v>#N/A</v>
      </c>
      <c r="K359" s="1" t="str">
        <f>VLOOKUP(AE359,[1]Profile!$A$2:$B$8,2,FALSE)</f>
        <v>Porting</v>
      </c>
      <c r="M359" s="1" t="str">
        <f>VLOOKUP(Y359,[1]License_Method_ID!$A$2:$B$13,2,FALSE)</f>
        <v>no technical license protection</v>
      </c>
      <c r="N359" s="1" t="s">
        <v>88</v>
      </c>
      <c r="O359" s="1">
        <v>10</v>
      </c>
      <c r="Q359" s="1" t="str">
        <f>VLOOKUP(AB359,[1]Operational_Profit_Type_ID!$A$2:$B$3,2,FALSE)</f>
        <v>Calculated</v>
      </c>
      <c r="R359" s="1" t="s">
        <v>55</v>
      </c>
      <c r="T359" s="1" t="str">
        <f>VLOOKUP(AD359,[1]UpdateRightID!$A$2:$B$4,2,FALSE)</f>
        <v>none</v>
      </c>
      <c r="U359" s="1" t="s">
        <v>48</v>
      </c>
      <c r="Y359" s="1">
        <v>0</v>
      </c>
      <c r="AB359" s="1">
        <v>2</v>
      </c>
      <c r="AD359" s="1">
        <v>0</v>
      </c>
      <c r="AE359" s="1">
        <v>4</v>
      </c>
    </row>
    <row r="360" spans="2:31" ht="60">
      <c r="B360" s="1" t="s">
        <v>986</v>
      </c>
      <c r="C360" t="s">
        <v>987</v>
      </c>
      <c r="D360" s="1" t="s">
        <v>963</v>
      </c>
      <c r="E360" s="1" t="e">
        <f>VLOOKUP(Z360,[1]LicenseDuration_ID!$A$2:$B$8,2,FALSE)</f>
        <v>#N/A</v>
      </c>
      <c r="F360" s="1" t="e">
        <f>VLOOKUP(AA360,[1]MaintenanceDuration_ID!$A$2:$B$5,2,FALSE)</f>
        <v>#N/A</v>
      </c>
      <c r="G360" s="1" t="e">
        <f>VLOOKUP(V360,[1]ExpectedDeliveryTime_ID!$A$2:$B$12,2,FALSE)</f>
        <v>#N/A</v>
      </c>
      <c r="H360" s="1" t="e">
        <f>VLOOKUP(AC360,[1]PaymentModel_ID!$A$2:$B$7,2,FALSE)</f>
        <v>#N/A</v>
      </c>
      <c r="I360" s="1" t="e">
        <f>VLOOKUP(W360,[1]ExpectedInvoiceDate_ID!$A$2:$B$12,2,FALSE)</f>
        <v>#N/A</v>
      </c>
      <c r="J360" s="1" t="e">
        <f>VLOOKUP(X360,[1]GrantOfRights_ID!$A$2:$B$7,2,FALSE)</f>
        <v>#N/A</v>
      </c>
      <c r="K360" s="1" t="str">
        <f>VLOOKUP(AE360,[1]Profile!$A$2:$B$8,2,FALSE)</f>
        <v>Porting</v>
      </c>
      <c r="M360" s="1" t="str">
        <f>VLOOKUP(Y360,[1]License_Method_ID!$A$2:$B$13,2,FALSE)</f>
        <v>no technical license protection</v>
      </c>
      <c r="N360" s="1" t="s">
        <v>88</v>
      </c>
      <c r="O360" s="1">
        <v>10</v>
      </c>
      <c r="Q360" s="1" t="str">
        <f>VLOOKUP(AB360,[1]Operational_Profit_Type_ID!$A$2:$B$3,2,FALSE)</f>
        <v>Calculated</v>
      </c>
      <c r="R360" s="1" t="s">
        <v>55</v>
      </c>
      <c r="T360" s="1" t="str">
        <f>VLOOKUP(AD360,[1]UpdateRightID!$A$2:$B$4,2,FALSE)</f>
        <v>none</v>
      </c>
      <c r="U360" s="1" t="s">
        <v>48</v>
      </c>
      <c r="Y360" s="1">
        <v>0</v>
      </c>
      <c r="AB360" s="1">
        <v>2</v>
      </c>
      <c r="AD360" s="1">
        <v>0</v>
      </c>
      <c r="AE360" s="1">
        <v>4</v>
      </c>
    </row>
    <row r="361" spans="2:31" ht="45">
      <c r="B361" s="1" t="s">
        <v>988</v>
      </c>
      <c r="C361" t="s">
        <v>989</v>
      </c>
      <c r="D361" s="1" t="s">
        <v>966</v>
      </c>
      <c r="E361" s="1" t="e">
        <f>VLOOKUP(Z361,[1]LicenseDuration_ID!$A$2:$B$8,2,FALSE)</f>
        <v>#N/A</v>
      </c>
      <c r="F361" s="1" t="e">
        <f>VLOOKUP(AA361,[1]MaintenanceDuration_ID!$A$2:$B$5,2,FALSE)</f>
        <v>#N/A</v>
      </c>
      <c r="G361" s="1" t="e">
        <f>VLOOKUP(V361,[1]ExpectedDeliveryTime_ID!$A$2:$B$12,2,FALSE)</f>
        <v>#N/A</v>
      </c>
      <c r="H361" s="1" t="e">
        <f>VLOOKUP(AC361,[1]PaymentModel_ID!$A$2:$B$7,2,FALSE)</f>
        <v>#N/A</v>
      </c>
      <c r="I361" s="1" t="e">
        <f>VLOOKUP(W361,[1]ExpectedInvoiceDate_ID!$A$2:$B$12,2,FALSE)</f>
        <v>#N/A</v>
      </c>
      <c r="J361" s="1" t="e">
        <f>VLOOKUP(X361,[1]GrantOfRights_ID!$A$2:$B$7,2,FALSE)</f>
        <v>#N/A</v>
      </c>
      <c r="K361" s="1" t="str">
        <f>VLOOKUP(AE361,[1]Profile!$A$2:$B$8,2,FALSE)</f>
        <v>Porting</v>
      </c>
      <c r="M361" s="1" t="str">
        <f>VLOOKUP(Y361,[1]License_Method_ID!$A$2:$B$13,2,FALSE)</f>
        <v>no technical license protection</v>
      </c>
      <c r="N361" s="1" t="s">
        <v>88</v>
      </c>
      <c r="O361" s="1">
        <v>10</v>
      </c>
      <c r="Q361" s="1" t="str">
        <f>VLOOKUP(AB361,[1]Operational_Profit_Type_ID!$A$2:$B$3,2,FALSE)</f>
        <v>Calculated</v>
      </c>
      <c r="R361" s="1" t="s">
        <v>55</v>
      </c>
      <c r="T361" s="1" t="str">
        <f>VLOOKUP(AD361,[1]UpdateRightID!$A$2:$B$4,2,FALSE)</f>
        <v>none</v>
      </c>
      <c r="U361" s="1" t="s">
        <v>48</v>
      </c>
      <c r="Y361" s="1">
        <v>0</v>
      </c>
      <c r="AB361" s="1">
        <v>2</v>
      </c>
      <c r="AD361" s="1">
        <v>0</v>
      </c>
      <c r="AE361" s="1">
        <v>4</v>
      </c>
    </row>
    <row r="362" spans="2:31" ht="45">
      <c r="B362" s="1" t="s">
        <v>990</v>
      </c>
      <c r="C362" t="s">
        <v>991</v>
      </c>
      <c r="D362" s="1" t="s">
        <v>969</v>
      </c>
      <c r="E362" s="1" t="e">
        <f>VLOOKUP(Z362,[1]LicenseDuration_ID!$A$2:$B$8,2,FALSE)</f>
        <v>#N/A</v>
      </c>
      <c r="F362" s="1" t="e">
        <f>VLOOKUP(AA362,[1]MaintenanceDuration_ID!$A$2:$B$5,2,FALSE)</f>
        <v>#N/A</v>
      </c>
      <c r="G362" s="1" t="e">
        <f>VLOOKUP(V362,[1]ExpectedDeliveryTime_ID!$A$2:$B$12,2,FALSE)</f>
        <v>#N/A</v>
      </c>
      <c r="H362" s="1" t="e">
        <f>VLOOKUP(AC362,[1]PaymentModel_ID!$A$2:$B$7,2,FALSE)</f>
        <v>#N/A</v>
      </c>
      <c r="I362" s="1" t="e">
        <f>VLOOKUP(W362,[1]ExpectedInvoiceDate_ID!$A$2:$B$12,2,FALSE)</f>
        <v>#N/A</v>
      </c>
      <c r="J362" s="1" t="e">
        <f>VLOOKUP(X362,[1]GrantOfRights_ID!$A$2:$B$7,2,FALSE)</f>
        <v>#N/A</v>
      </c>
      <c r="K362" s="1" t="str">
        <f>VLOOKUP(AE362,[1]Profile!$A$2:$B$8,2,FALSE)</f>
        <v>Porting</v>
      </c>
      <c r="M362" s="1" t="str">
        <f>VLOOKUP(Y362,[1]License_Method_ID!$A$2:$B$13,2,FALSE)</f>
        <v>no technical license protection</v>
      </c>
      <c r="N362" s="1" t="s">
        <v>88</v>
      </c>
      <c r="O362" s="1">
        <v>10</v>
      </c>
      <c r="Q362" s="1" t="str">
        <f>VLOOKUP(AB362,[1]Operational_Profit_Type_ID!$A$2:$B$3,2,FALSE)</f>
        <v>Calculated</v>
      </c>
      <c r="R362" s="1" t="s">
        <v>55</v>
      </c>
      <c r="T362" s="1" t="str">
        <f>VLOOKUP(AD362,[1]UpdateRightID!$A$2:$B$4,2,FALSE)</f>
        <v>none</v>
      </c>
      <c r="U362" s="1" t="s">
        <v>48</v>
      </c>
      <c r="Y362" s="1">
        <v>0</v>
      </c>
      <c r="AB362" s="1">
        <v>2</v>
      </c>
      <c r="AD362" s="1">
        <v>0</v>
      </c>
      <c r="AE362" s="1">
        <v>4</v>
      </c>
    </row>
    <row r="363" spans="2:31" ht="45">
      <c r="B363" s="1" t="s">
        <v>992</v>
      </c>
      <c r="C363" t="s">
        <v>993</v>
      </c>
      <c r="D363" s="1" t="s">
        <v>972</v>
      </c>
      <c r="E363" s="1" t="e">
        <f>VLOOKUP(Z363,[1]LicenseDuration_ID!$A$2:$B$8,2,FALSE)</f>
        <v>#N/A</v>
      </c>
      <c r="F363" s="1" t="e">
        <f>VLOOKUP(AA363,[1]MaintenanceDuration_ID!$A$2:$B$5,2,FALSE)</f>
        <v>#N/A</v>
      </c>
      <c r="G363" s="1" t="e">
        <f>VLOOKUP(V363,[1]ExpectedDeliveryTime_ID!$A$2:$B$12,2,FALSE)</f>
        <v>#N/A</v>
      </c>
      <c r="H363" s="1" t="e">
        <f>VLOOKUP(AC363,[1]PaymentModel_ID!$A$2:$B$7,2,FALSE)</f>
        <v>#N/A</v>
      </c>
      <c r="I363" s="1" t="e">
        <f>VLOOKUP(W363,[1]ExpectedInvoiceDate_ID!$A$2:$B$12,2,FALSE)</f>
        <v>#N/A</v>
      </c>
      <c r="J363" s="1" t="e">
        <f>VLOOKUP(X363,[1]GrantOfRights_ID!$A$2:$B$7,2,FALSE)</f>
        <v>#N/A</v>
      </c>
      <c r="K363" s="1" t="str">
        <f>VLOOKUP(AE363,[1]Profile!$A$2:$B$8,2,FALSE)</f>
        <v>Porting</v>
      </c>
      <c r="M363" s="1" t="str">
        <f>VLOOKUP(Y363,[1]License_Method_ID!$A$2:$B$13,2,FALSE)</f>
        <v>no technical license protection</v>
      </c>
      <c r="N363" s="1" t="s">
        <v>88</v>
      </c>
      <c r="O363" s="1">
        <v>10</v>
      </c>
      <c r="Q363" s="1" t="str">
        <f>VLOOKUP(AB363,[1]Operational_Profit_Type_ID!$A$2:$B$3,2,FALSE)</f>
        <v>Calculated</v>
      </c>
      <c r="R363" s="1" t="s">
        <v>55</v>
      </c>
      <c r="T363" s="1" t="str">
        <f>VLOOKUP(AD363,[1]UpdateRightID!$A$2:$B$4,2,FALSE)</f>
        <v>none</v>
      </c>
      <c r="U363" s="1" t="s">
        <v>48</v>
      </c>
      <c r="Y363" s="1">
        <v>0</v>
      </c>
      <c r="AB363" s="1">
        <v>2</v>
      </c>
      <c r="AD363" s="1">
        <v>0</v>
      </c>
      <c r="AE363" s="1">
        <v>4</v>
      </c>
    </row>
    <row r="364" spans="2:31" ht="45">
      <c r="B364" s="1" t="s">
        <v>994</v>
      </c>
      <c r="C364" t="s">
        <v>995</v>
      </c>
      <c r="D364" s="1" t="s">
        <v>975</v>
      </c>
      <c r="E364" s="1" t="e">
        <f>VLOOKUP(Z364,[1]LicenseDuration_ID!$A$2:$B$8,2,FALSE)</f>
        <v>#N/A</v>
      </c>
      <c r="F364" s="1" t="e">
        <f>VLOOKUP(AA364,[1]MaintenanceDuration_ID!$A$2:$B$5,2,FALSE)</f>
        <v>#N/A</v>
      </c>
      <c r="G364" s="1" t="e">
        <f>VLOOKUP(V364,[1]ExpectedDeliveryTime_ID!$A$2:$B$12,2,FALSE)</f>
        <v>#N/A</v>
      </c>
      <c r="H364" s="1" t="e">
        <f>VLOOKUP(AC364,[1]PaymentModel_ID!$A$2:$B$7,2,FALSE)</f>
        <v>#N/A</v>
      </c>
      <c r="I364" s="1" t="e">
        <f>VLOOKUP(W364,[1]ExpectedInvoiceDate_ID!$A$2:$B$12,2,FALSE)</f>
        <v>#N/A</v>
      </c>
      <c r="J364" s="1" t="e">
        <f>VLOOKUP(X364,[1]GrantOfRights_ID!$A$2:$B$7,2,FALSE)</f>
        <v>#N/A</v>
      </c>
      <c r="K364" s="1" t="str">
        <f>VLOOKUP(AE364,[1]Profile!$A$2:$B$8,2,FALSE)</f>
        <v>Porting</v>
      </c>
      <c r="M364" s="1" t="str">
        <f>VLOOKUP(Y364,[1]License_Method_ID!$A$2:$B$13,2,FALSE)</f>
        <v>no technical license protection</v>
      </c>
      <c r="N364" s="1" t="s">
        <v>88</v>
      </c>
      <c r="O364" s="1">
        <v>10</v>
      </c>
      <c r="Q364" s="1" t="str">
        <f>VLOOKUP(AB364,[1]Operational_Profit_Type_ID!$A$2:$B$3,2,FALSE)</f>
        <v>Calculated</v>
      </c>
      <c r="R364" s="1" t="s">
        <v>55</v>
      </c>
      <c r="T364" s="1" t="str">
        <f>VLOOKUP(AD364,[1]UpdateRightID!$A$2:$B$4,2,FALSE)</f>
        <v>none</v>
      </c>
      <c r="U364" s="1" t="s">
        <v>48</v>
      </c>
      <c r="Y364" s="1">
        <v>0</v>
      </c>
      <c r="AB364" s="1">
        <v>2</v>
      </c>
      <c r="AD364" s="1">
        <v>0</v>
      </c>
      <c r="AE364" s="1">
        <v>4</v>
      </c>
    </row>
    <row r="365" spans="2:31" ht="135">
      <c r="B365" s="1" t="s">
        <v>996</v>
      </c>
      <c r="C365" t="s">
        <v>997</v>
      </c>
      <c r="D365" s="1" t="s">
        <v>998</v>
      </c>
      <c r="E365" s="1" t="e">
        <f>VLOOKUP(Z365,[1]LicenseDuration_ID!$A$2:$B$8,2,FALSE)</f>
        <v>#N/A</v>
      </c>
      <c r="F365" s="1" t="e">
        <f>VLOOKUP(AA365,[1]MaintenanceDuration_ID!$A$2:$B$5,2,FALSE)</f>
        <v>#N/A</v>
      </c>
      <c r="G365" s="1" t="e">
        <f>VLOOKUP(V365,[1]ExpectedDeliveryTime_ID!$A$2:$B$12,2,FALSE)</f>
        <v>#N/A</v>
      </c>
      <c r="H365" s="1" t="e">
        <f>VLOOKUP(AC365,[1]PaymentModel_ID!$A$2:$B$7,2,FALSE)</f>
        <v>#N/A</v>
      </c>
      <c r="I365" s="1" t="e">
        <f>VLOOKUP(W365,[1]ExpectedInvoiceDate_ID!$A$2:$B$12,2,FALSE)</f>
        <v>#N/A</v>
      </c>
      <c r="J365" s="1" t="e">
        <f>VLOOKUP(X365,[1]GrantOfRights_ID!$A$2:$B$7,2,FALSE)</f>
        <v>#N/A</v>
      </c>
      <c r="K365" s="1" t="str">
        <f>VLOOKUP(AE365,[1]Profile!$A$2:$B$8,2,FALSE)</f>
        <v>License</v>
      </c>
      <c r="M365" s="1" t="str">
        <f>VLOOKUP(Y365,[1]License_Method_ID!$A$2:$B$13,2,FALSE)</f>
        <v>FlexNet Publisher Application Activation Code</v>
      </c>
      <c r="N365" s="1" t="s">
        <v>47</v>
      </c>
      <c r="O365" s="1">
        <v>10</v>
      </c>
      <c r="Q365" s="1" t="str">
        <f>VLOOKUP(AB365,[1]Operational_Profit_Type_ID!$A$2:$B$3,2,FALSE)</f>
        <v>Calculated</v>
      </c>
      <c r="R365" s="1" t="s">
        <v>48</v>
      </c>
      <c r="T365" s="1" t="str">
        <f>VLOOKUP(AD365,[1]UpdateRightID!$A$2:$B$4,2,FALSE)</f>
        <v>UpdateRightByConfiguration</v>
      </c>
      <c r="U365" s="1" t="s">
        <v>48</v>
      </c>
      <c r="Y365" s="1">
        <v>1</v>
      </c>
      <c r="AB365" s="1">
        <v>2</v>
      </c>
      <c r="AD365" s="1">
        <v>1</v>
      </c>
      <c r="AE365" s="1">
        <v>1</v>
      </c>
    </row>
    <row r="366" spans="2:31">
      <c r="B366" s="1" t="s">
        <v>999</v>
      </c>
      <c r="C366" t="s">
        <v>1000</v>
      </c>
      <c r="D366" s="1" t="s">
        <v>750</v>
      </c>
      <c r="E366" s="1" t="e">
        <f>VLOOKUP(Z366,[1]LicenseDuration_ID!$A$2:$B$8,2,FALSE)</f>
        <v>#N/A</v>
      </c>
      <c r="F366" s="1" t="e">
        <f>VLOOKUP(AA366,[1]MaintenanceDuration_ID!$A$2:$B$5,2,FALSE)</f>
        <v>#N/A</v>
      </c>
      <c r="G366" s="1" t="e">
        <f>VLOOKUP(V366,[1]ExpectedDeliveryTime_ID!$A$2:$B$12,2,FALSE)</f>
        <v>#N/A</v>
      </c>
      <c r="H366" s="1" t="e">
        <f>VLOOKUP(AC366,[1]PaymentModel_ID!$A$2:$B$7,2,FALSE)</f>
        <v>#N/A</v>
      </c>
      <c r="I366" s="1" t="e">
        <f>VLOOKUP(W366,[1]ExpectedInvoiceDate_ID!$A$2:$B$12,2,FALSE)</f>
        <v>#N/A</v>
      </c>
      <c r="J366" s="1" t="e">
        <f>VLOOKUP(X366,[1]GrantOfRights_ID!$A$2:$B$7,2,FALSE)</f>
        <v>#N/A</v>
      </c>
      <c r="K366" s="1" t="str">
        <f>VLOOKUP(AE366,[1]Profile!$A$2:$B$8,2,FALSE)</f>
        <v>License</v>
      </c>
      <c r="M366" s="1" t="str">
        <f>VLOOKUP(Y366,[1]License_Method_ID!$A$2:$B$13,2,FALSE)</f>
        <v>no technical license protection</v>
      </c>
      <c r="N366" s="1" t="s">
        <v>47</v>
      </c>
      <c r="O366" s="1">
        <v>10</v>
      </c>
      <c r="P366" s="1">
        <v>50</v>
      </c>
      <c r="Q366" s="1" t="str">
        <f>VLOOKUP(AB366,[1]Operational_Profit_Type_ID!$A$2:$B$3,2,FALSE)</f>
        <v>Fix rate</v>
      </c>
      <c r="R366" s="1" t="s">
        <v>48</v>
      </c>
      <c r="T366" s="1" t="str">
        <f>VLOOKUP(AD366,[1]UpdateRightID!$A$2:$B$4,2,FALSE)</f>
        <v>none</v>
      </c>
      <c r="U366" s="1" t="s">
        <v>48</v>
      </c>
      <c r="Y366" s="1">
        <v>0</v>
      </c>
      <c r="AB366" s="1">
        <v>1</v>
      </c>
      <c r="AD366" s="1">
        <v>0</v>
      </c>
      <c r="AE366" s="1">
        <v>1</v>
      </c>
    </row>
    <row r="367" spans="2:31" ht="30">
      <c r="B367" s="1" t="s">
        <v>1001</v>
      </c>
      <c r="C367" t="s">
        <v>1002</v>
      </c>
      <c r="D367" s="1" t="s">
        <v>1003</v>
      </c>
      <c r="E367" s="1" t="e">
        <f>VLOOKUP(Z367,[1]LicenseDuration_ID!$A$2:$B$8,2,FALSE)</f>
        <v>#N/A</v>
      </c>
      <c r="F367" s="1" t="e">
        <f>VLOOKUP(AA367,[1]MaintenanceDuration_ID!$A$2:$B$5,2,FALSE)</f>
        <v>#N/A</v>
      </c>
      <c r="G367" s="1" t="e">
        <f>VLOOKUP(V367,[1]ExpectedDeliveryTime_ID!$A$2:$B$12,2,FALSE)</f>
        <v>#N/A</v>
      </c>
      <c r="H367" s="1" t="e">
        <f>VLOOKUP(AC367,[1]PaymentModel_ID!$A$2:$B$7,2,FALSE)</f>
        <v>#N/A</v>
      </c>
      <c r="I367" s="1" t="e">
        <f>VLOOKUP(W367,[1]ExpectedInvoiceDate_ID!$A$2:$B$12,2,FALSE)</f>
        <v>#N/A</v>
      </c>
      <c r="J367" s="1" t="e">
        <f>VLOOKUP(X367,[1]GrantOfRights_ID!$A$2:$B$7,2,FALSE)</f>
        <v>#N/A</v>
      </c>
      <c r="K367" s="1" t="str">
        <f>VLOOKUP(AE367,[1]Profile!$A$2:$B$8,2,FALSE)</f>
        <v>License</v>
      </c>
      <c r="M367" s="1" t="str">
        <f>VLOOKUP(Y367,[1]License_Method_ID!$A$2:$B$13,2,FALSE)</f>
        <v>ADTF Node-Locked License File</v>
      </c>
      <c r="N367" s="1" t="s">
        <v>47</v>
      </c>
      <c r="O367" s="1">
        <v>10</v>
      </c>
      <c r="P367" s="1">
        <v>50</v>
      </c>
      <c r="Q367" s="1" t="str">
        <f>VLOOKUP(AB367,[1]Operational_Profit_Type_ID!$A$2:$B$3,2,FALSE)</f>
        <v>Fix rate</v>
      </c>
      <c r="R367" s="1" t="s">
        <v>48</v>
      </c>
      <c r="T367" s="1" t="str">
        <f>VLOOKUP(AD367,[1]UpdateRightID!$A$2:$B$4,2,FALSE)</f>
        <v>none</v>
      </c>
      <c r="U367" s="1" t="s">
        <v>48</v>
      </c>
      <c r="Y367" s="1">
        <v>7</v>
      </c>
      <c r="AB367" s="1">
        <v>1</v>
      </c>
      <c r="AD367" s="1">
        <v>0</v>
      </c>
      <c r="AE367" s="1">
        <v>1</v>
      </c>
    </row>
    <row r="368" spans="2:31" ht="150">
      <c r="B368" s="1" t="s">
        <v>1004</v>
      </c>
      <c r="C368" t="s">
        <v>1005</v>
      </c>
      <c r="D368" s="1" t="s">
        <v>466</v>
      </c>
      <c r="E368" s="1" t="e">
        <f>VLOOKUP(Z368,[1]LicenseDuration_ID!$A$2:$B$8,2,FALSE)</f>
        <v>#N/A</v>
      </c>
      <c r="F368" s="1" t="e">
        <f>VLOOKUP(AA368,[1]MaintenanceDuration_ID!$A$2:$B$5,2,FALSE)</f>
        <v>#N/A</v>
      </c>
      <c r="G368" s="1" t="e">
        <f>VLOOKUP(V368,[1]ExpectedDeliveryTime_ID!$A$2:$B$12,2,FALSE)</f>
        <v>#N/A</v>
      </c>
      <c r="H368" s="1" t="e">
        <f>VLOOKUP(AC368,[1]PaymentModel_ID!$A$2:$B$7,2,FALSE)</f>
        <v>#N/A</v>
      </c>
      <c r="I368" s="1" t="e">
        <f>VLOOKUP(W368,[1]ExpectedInvoiceDate_ID!$A$2:$B$12,2,FALSE)</f>
        <v>#N/A</v>
      </c>
      <c r="J368" s="1" t="e">
        <f>VLOOKUP(X368,[1]GrantOfRights_ID!$A$2:$B$7,2,FALSE)</f>
        <v>#N/A</v>
      </c>
      <c r="K368" s="1" t="str">
        <f>VLOOKUP(AE368,[1]Profile!$A$2:$B$8,2,FALSE)</f>
        <v>License</v>
      </c>
      <c r="M368" s="1" t="str">
        <f>VLOOKUP(Y368,[1]License_Method_ID!$A$2:$B$13,2,FALSE)</f>
        <v>FlexNet Publisher Server Activation Code</v>
      </c>
      <c r="N368" s="1" t="s">
        <v>47</v>
      </c>
      <c r="O368" s="1">
        <v>10</v>
      </c>
      <c r="Q368" s="1" t="str">
        <f>VLOOKUP(AB368,[1]Operational_Profit_Type_ID!$A$2:$B$3,2,FALSE)</f>
        <v>Calculated</v>
      </c>
      <c r="R368" s="1" t="s">
        <v>48</v>
      </c>
      <c r="T368" s="1" t="str">
        <f>VLOOKUP(AD368,[1]UpdateRightID!$A$2:$B$4,2,FALSE)</f>
        <v>UpdateRightByConfiguration</v>
      </c>
      <c r="U368" s="1" t="s">
        <v>48</v>
      </c>
      <c r="Y368" s="1">
        <v>2</v>
      </c>
      <c r="AB368" s="1">
        <v>2</v>
      </c>
      <c r="AD368" s="1">
        <v>1</v>
      </c>
      <c r="AE368" s="1">
        <v>1</v>
      </c>
    </row>
    <row r="369" spans="1:31" ht="90">
      <c r="B369" s="1" t="s">
        <v>1006</v>
      </c>
      <c r="C369" t="s">
        <v>1007</v>
      </c>
      <c r="D369" s="1" t="s">
        <v>693</v>
      </c>
      <c r="E369" s="1" t="e">
        <f>VLOOKUP(Z369,[1]LicenseDuration_ID!$A$2:$B$8,2,FALSE)</f>
        <v>#N/A</v>
      </c>
      <c r="F369" s="1" t="e">
        <f>VLOOKUP(AA369,[1]MaintenanceDuration_ID!$A$2:$B$5,2,FALSE)</f>
        <v>#N/A</v>
      </c>
      <c r="G369" s="1" t="e">
        <f>VLOOKUP(V369,[1]ExpectedDeliveryTime_ID!$A$2:$B$12,2,FALSE)</f>
        <v>#N/A</v>
      </c>
      <c r="H369" s="1" t="e">
        <f>VLOOKUP(AC369,[1]PaymentModel_ID!$A$2:$B$7,2,FALSE)</f>
        <v>#N/A</v>
      </c>
      <c r="I369" s="1" t="e">
        <f>VLOOKUP(W369,[1]ExpectedInvoiceDate_ID!$A$2:$B$12,2,FALSE)</f>
        <v>#N/A</v>
      </c>
      <c r="J369" s="1" t="e">
        <f>VLOOKUP(X369,[1]GrantOfRights_ID!$A$2:$B$7,2,FALSE)</f>
        <v>#N/A</v>
      </c>
      <c r="K369" s="1" t="str">
        <f>VLOOKUP(AE369,[1]Profile!$A$2:$B$8,2,FALSE)</f>
        <v>License</v>
      </c>
      <c r="M369" s="1" t="str">
        <f>VLOOKUP(Y369,[1]License_Method_ID!$A$2:$B$13,2,FALSE)</f>
        <v>FlexNet Publisher Server Activation Code</v>
      </c>
      <c r="N369" s="1" t="s">
        <v>47</v>
      </c>
      <c r="O369" s="1">
        <v>10</v>
      </c>
      <c r="Q369" s="1" t="str">
        <f>VLOOKUP(AB369,[1]Operational_Profit_Type_ID!$A$2:$B$3,2,FALSE)</f>
        <v>Calculated</v>
      </c>
      <c r="R369" s="1" t="s">
        <v>48</v>
      </c>
      <c r="T369" s="1" t="str">
        <f>VLOOKUP(AD369,[1]UpdateRightID!$A$2:$B$4,2,FALSE)</f>
        <v>TotalAmountAsUpdateRight</v>
      </c>
      <c r="U369" s="1" t="s">
        <v>48</v>
      </c>
      <c r="Y369" s="1">
        <v>2</v>
      </c>
      <c r="AB369" s="1">
        <v>2</v>
      </c>
      <c r="AD369" s="1">
        <v>2</v>
      </c>
      <c r="AE369" s="1">
        <v>1</v>
      </c>
    </row>
    <row r="370" spans="1:31" ht="150">
      <c r="B370" s="1" t="s">
        <v>1008</v>
      </c>
      <c r="C370" t="s">
        <v>1009</v>
      </c>
      <c r="D370" s="1" t="s">
        <v>1010</v>
      </c>
      <c r="E370" s="1" t="e">
        <f>VLOOKUP(Z370,[1]LicenseDuration_ID!$A$2:$B$8,2,FALSE)</f>
        <v>#N/A</v>
      </c>
      <c r="F370" s="1" t="e">
        <f>VLOOKUP(AA370,[1]MaintenanceDuration_ID!$A$2:$B$5,2,FALSE)</f>
        <v>#N/A</v>
      </c>
      <c r="G370" s="1" t="e">
        <f>VLOOKUP(V370,[1]ExpectedDeliveryTime_ID!$A$2:$B$12,2,FALSE)</f>
        <v>#N/A</v>
      </c>
      <c r="H370" s="1" t="e">
        <f>VLOOKUP(AC370,[1]PaymentModel_ID!$A$2:$B$7,2,FALSE)</f>
        <v>#N/A</v>
      </c>
      <c r="I370" s="1" t="e">
        <f>VLOOKUP(W370,[1]ExpectedInvoiceDate_ID!$A$2:$B$12,2,FALSE)</f>
        <v>#N/A</v>
      </c>
      <c r="J370" s="1" t="e">
        <f>VLOOKUP(X370,[1]GrantOfRights_ID!$A$2:$B$7,2,FALSE)</f>
        <v>#N/A</v>
      </c>
      <c r="K370" s="1" t="str">
        <f>VLOOKUP(AE370,[1]Profile!$A$2:$B$8,2,FALSE)</f>
        <v>License</v>
      </c>
      <c r="M370" s="1" t="str">
        <f>VLOOKUP(Y370,[1]License_Method_ID!$A$2:$B$13,2,FALSE)</f>
        <v>FlexNet Publisher Server Activation Code</v>
      </c>
      <c r="N370" s="1" t="s">
        <v>47</v>
      </c>
      <c r="O370" s="1">
        <v>10</v>
      </c>
      <c r="Q370" s="1" t="str">
        <f>VLOOKUP(AB370,[1]Operational_Profit_Type_ID!$A$2:$B$3,2,FALSE)</f>
        <v>Calculated</v>
      </c>
      <c r="R370" s="1" t="s">
        <v>48</v>
      </c>
      <c r="T370" s="1" t="str">
        <f>VLOOKUP(AD370,[1]UpdateRightID!$A$2:$B$4,2,FALSE)</f>
        <v>UpdateRightByConfiguration</v>
      </c>
      <c r="U370" s="1" t="s">
        <v>48</v>
      </c>
      <c r="Y370" s="1">
        <v>2</v>
      </c>
      <c r="AB370" s="1">
        <v>2</v>
      </c>
      <c r="AD370" s="1">
        <v>1</v>
      </c>
      <c r="AE370" s="1">
        <v>1</v>
      </c>
    </row>
    <row r="371" spans="1:31" ht="90">
      <c r="B371" s="1" t="s">
        <v>1011</v>
      </c>
      <c r="C371" t="s">
        <v>1012</v>
      </c>
      <c r="D371" s="1" t="s">
        <v>693</v>
      </c>
      <c r="E371" s="1" t="e">
        <f>VLOOKUP(Z371,[1]LicenseDuration_ID!$A$2:$B$8,2,FALSE)</f>
        <v>#N/A</v>
      </c>
      <c r="F371" s="1" t="e">
        <f>VLOOKUP(AA371,[1]MaintenanceDuration_ID!$A$2:$B$5,2,FALSE)</f>
        <v>#N/A</v>
      </c>
      <c r="G371" s="1" t="e">
        <f>VLOOKUP(V371,[1]ExpectedDeliveryTime_ID!$A$2:$B$12,2,FALSE)</f>
        <v>#N/A</v>
      </c>
      <c r="H371" s="1" t="e">
        <f>VLOOKUP(AC371,[1]PaymentModel_ID!$A$2:$B$7,2,FALSE)</f>
        <v>#N/A</v>
      </c>
      <c r="I371" s="1" t="e">
        <f>VLOOKUP(W371,[1]ExpectedInvoiceDate_ID!$A$2:$B$12,2,FALSE)</f>
        <v>#N/A</v>
      </c>
      <c r="J371" s="1" t="e">
        <f>VLOOKUP(X371,[1]GrantOfRights_ID!$A$2:$B$7,2,FALSE)</f>
        <v>#N/A</v>
      </c>
      <c r="K371" s="1" t="str">
        <f>VLOOKUP(AE371,[1]Profile!$A$2:$B$8,2,FALSE)</f>
        <v>License</v>
      </c>
      <c r="M371" s="1" t="str">
        <f>VLOOKUP(Y371,[1]License_Method_ID!$A$2:$B$13,2,FALSE)</f>
        <v>FlexNet Publisher Server Activation Code</v>
      </c>
      <c r="N371" s="1" t="s">
        <v>47</v>
      </c>
      <c r="O371" s="1">
        <v>10</v>
      </c>
      <c r="Q371" s="1" t="str">
        <f>VLOOKUP(AB371,[1]Operational_Profit_Type_ID!$A$2:$B$3,2,FALSE)</f>
        <v>Calculated</v>
      </c>
      <c r="R371" s="1" t="s">
        <v>48</v>
      </c>
      <c r="T371" s="1" t="str">
        <f>VLOOKUP(AD371,[1]UpdateRightID!$A$2:$B$4,2,FALSE)</f>
        <v>TotalAmountAsUpdateRight</v>
      </c>
      <c r="U371" s="1" t="s">
        <v>48</v>
      </c>
      <c r="Y371" s="1">
        <v>2</v>
      </c>
      <c r="AB371" s="1">
        <v>2</v>
      </c>
      <c r="AD371" s="1">
        <v>2</v>
      </c>
      <c r="AE371" s="1">
        <v>1</v>
      </c>
    </row>
    <row r="372" spans="1:31">
      <c r="B372" s="1" t="s">
        <v>1013</v>
      </c>
      <c r="C372" t="s">
        <v>1014</v>
      </c>
      <c r="E372" s="1" t="e">
        <f>VLOOKUP(Z372,[1]LicenseDuration_ID!$A$2:$B$8,2,FALSE)</f>
        <v>#N/A</v>
      </c>
      <c r="F372" s="1" t="e">
        <f>VLOOKUP(AA372,[1]MaintenanceDuration_ID!$A$2:$B$5,2,FALSE)</f>
        <v>#N/A</v>
      </c>
      <c r="G372" s="1" t="e">
        <f>VLOOKUP(V372,[1]ExpectedDeliveryTime_ID!$A$2:$B$12,2,FALSE)</f>
        <v>#N/A</v>
      </c>
      <c r="H372" s="1" t="e">
        <f>VLOOKUP(AC372,[1]PaymentModel_ID!$A$2:$B$7,2,FALSE)</f>
        <v>#N/A</v>
      </c>
      <c r="I372" s="1" t="e">
        <f>VLOOKUP(W372,[1]ExpectedInvoiceDate_ID!$A$2:$B$12,2,FALSE)</f>
        <v>#N/A</v>
      </c>
      <c r="J372" s="1" t="e">
        <f>VLOOKUP(X372,[1]GrantOfRights_ID!$A$2:$B$7,2,FALSE)</f>
        <v>#N/A</v>
      </c>
      <c r="K372" s="1" t="str">
        <f>VLOOKUP(AE372,[1]Profile!$A$2:$B$8,2,FALSE)</f>
        <v>License</v>
      </c>
      <c r="M372" s="1" t="str">
        <f>VLOOKUP(Y372,[1]License_Method_ID!$A$2:$B$13,2,FALSE)</f>
        <v>no technical license protection</v>
      </c>
      <c r="N372" s="1" t="s">
        <v>47</v>
      </c>
      <c r="O372" s="1">
        <v>10</v>
      </c>
      <c r="P372" s="1">
        <v>50</v>
      </c>
      <c r="Q372" s="1" t="str">
        <f>VLOOKUP(AB372,[1]Operational_Profit_Type_ID!$A$2:$B$3,2,FALSE)</f>
        <v>Fix rate</v>
      </c>
      <c r="R372" s="1" t="s">
        <v>55</v>
      </c>
      <c r="T372" s="1" t="str">
        <f>VLOOKUP(AD372,[1]UpdateRightID!$A$2:$B$4,2,FALSE)</f>
        <v>none</v>
      </c>
      <c r="U372" s="1" t="s">
        <v>48</v>
      </c>
      <c r="Y372" s="1">
        <v>0</v>
      </c>
      <c r="AB372" s="1">
        <v>1</v>
      </c>
      <c r="AD372" s="1">
        <v>0</v>
      </c>
      <c r="AE372" s="1">
        <v>1</v>
      </c>
    </row>
    <row r="373" spans="1:31" ht="30">
      <c r="A373" s="1" t="s">
        <v>43</v>
      </c>
      <c r="B373" s="1" t="s">
        <v>1015</v>
      </c>
      <c r="C373" t="s">
        <v>1016</v>
      </c>
      <c r="E373" s="1" t="str">
        <f>VLOOKUP(Z373,[1]LicenseDuration_ID!$A$2:$B$8,2,FALSE)</f>
        <v>n/a</v>
      </c>
      <c r="F373" s="1" t="str">
        <f>VLOOKUP(AA373,[1]MaintenanceDuration_ID!$A$2:$B$5,2,FALSE)</f>
        <v>n/a</v>
      </c>
      <c r="G373" s="1" t="str">
        <f>VLOOKUP(V373,[1]ExpectedDeliveryTime_ID!$A$2:$B$12,2,FALSE)</f>
        <v>In mutual alignment with the project</v>
      </c>
      <c r="H373" s="1" t="str">
        <f>VLOOKUP(AC373,[1]PaymentModel_ID!$A$2:$B$7,2,FALSE)</f>
        <v>One-time payment</v>
      </c>
      <c r="I373" s="1" t="str">
        <f>VLOOKUP(W373,[1]ExpectedInvoiceDate_ID!$A$2:$B$12,2,FALSE)</f>
        <v>With FINAL DELIVERY</v>
      </c>
      <c r="J373" s="1" t="str">
        <f>VLOOKUP(X373,[1]GrantOfRights_ID!$A$2:$B$7,2,FALSE)</f>
        <v>n/a</v>
      </c>
      <c r="K373" s="1" t="str">
        <f>VLOOKUP(AE373,[1]Profile!$A$2:$B$8,2,FALSE)</f>
        <v>Integration Package</v>
      </c>
      <c r="M373" s="1" t="str">
        <f>VLOOKUP(Y373,[1]License_Method_ID!$A$2:$B$13,2,FALSE)</f>
        <v>no technical license protection</v>
      </c>
      <c r="N373" s="1" t="s">
        <v>88</v>
      </c>
      <c r="O373" s="1">
        <v>10</v>
      </c>
      <c r="Q373" s="1" t="str">
        <f>VLOOKUP(AB373,[1]Operational_Profit_Type_ID!$A$2:$B$3,2,FALSE)</f>
        <v>Calculated</v>
      </c>
      <c r="R373" s="1" t="s">
        <v>55</v>
      </c>
      <c r="T373" s="1" t="str">
        <f>VLOOKUP(AD373,[1]UpdateRightID!$A$2:$B$4,2,FALSE)</f>
        <v>none</v>
      </c>
      <c r="U373" s="1" t="s">
        <v>48</v>
      </c>
      <c r="V373" s="1">
        <v>18</v>
      </c>
      <c r="W373" s="1">
        <v>7</v>
      </c>
      <c r="X373" s="1">
        <v>1</v>
      </c>
      <c r="Y373" s="1">
        <v>0</v>
      </c>
      <c r="Z373" s="1">
        <v>1</v>
      </c>
      <c r="AA373" s="1">
        <v>1</v>
      </c>
      <c r="AB373" s="1">
        <v>2</v>
      </c>
      <c r="AC373" s="1">
        <v>2</v>
      </c>
      <c r="AD373" s="1">
        <v>0</v>
      </c>
      <c r="AE373" s="1">
        <v>2</v>
      </c>
    </row>
    <row r="374" spans="1:31" ht="30">
      <c r="B374" s="1" t="s">
        <v>1017</v>
      </c>
      <c r="C374" t="s">
        <v>1018</v>
      </c>
      <c r="E374" s="1" t="e">
        <f>VLOOKUP(Z374,[1]LicenseDuration_ID!$A$2:$B$8,2,FALSE)</f>
        <v>#N/A</v>
      </c>
      <c r="F374" s="1" t="e">
        <f>VLOOKUP(AA374,[1]MaintenanceDuration_ID!$A$2:$B$5,2,FALSE)</f>
        <v>#N/A</v>
      </c>
      <c r="G374" s="1" t="e">
        <f>VLOOKUP(V374,[1]ExpectedDeliveryTime_ID!$A$2:$B$12,2,FALSE)</f>
        <v>#N/A</v>
      </c>
      <c r="H374" s="1" t="e">
        <f>VLOOKUP(AC374,[1]PaymentModel_ID!$A$2:$B$7,2,FALSE)</f>
        <v>#N/A</v>
      </c>
      <c r="I374" s="1" t="e">
        <f>VLOOKUP(W374,[1]ExpectedInvoiceDate_ID!$A$2:$B$12,2,FALSE)</f>
        <v>#N/A</v>
      </c>
      <c r="J374" s="1" t="e">
        <f>VLOOKUP(X374,[1]GrantOfRights_ID!$A$2:$B$7,2,FALSE)</f>
        <v>#N/A</v>
      </c>
      <c r="K374" s="1" t="str">
        <f>VLOOKUP(AE374,[1]Profile!$A$2:$B$8,2,FALSE)</f>
        <v>Integration Package</v>
      </c>
      <c r="M374" s="1" t="str">
        <f>VLOOKUP(Y374,[1]License_Method_ID!$A$2:$B$13,2,FALSE)</f>
        <v>no technical license protection</v>
      </c>
      <c r="N374" s="1" t="s">
        <v>88</v>
      </c>
      <c r="O374" s="1">
        <v>10</v>
      </c>
      <c r="Q374" s="1" t="str">
        <f>VLOOKUP(AB374,[1]Operational_Profit_Type_ID!$A$2:$B$3,2,FALSE)</f>
        <v>Calculated</v>
      </c>
      <c r="R374" s="1" t="s">
        <v>55</v>
      </c>
      <c r="T374" s="1" t="str">
        <f>VLOOKUP(AD374,[1]UpdateRightID!$A$2:$B$4,2,FALSE)</f>
        <v>none</v>
      </c>
      <c r="U374" s="1" t="s">
        <v>48</v>
      </c>
      <c r="Y374" s="1">
        <v>0</v>
      </c>
      <c r="AB374" s="1">
        <v>2</v>
      </c>
      <c r="AD374" s="1">
        <v>0</v>
      </c>
      <c r="AE374" s="1">
        <v>2</v>
      </c>
    </row>
    <row r="375" spans="1:31" ht="30">
      <c r="A375" s="1" t="s">
        <v>43</v>
      </c>
      <c r="B375" s="1" t="s">
        <v>1019</v>
      </c>
      <c r="C375" t="s">
        <v>1020</v>
      </c>
      <c r="E375" s="1" t="str">
        <f>VLOOKUP(Z375,[1]LicenseDuration_ID!$A$2:$B$8,2,FALSE)</f>
        <v>n/a</v>
      </c>
      <c r="F375" s="1" t="str">
        <f>VLOOKUP(AA375,[1]MaintenanceDuration_ID!$A$2:$B$5,2,FALSE)</f>
        <v>n/a</v>
      </c>
      <c r="G375" s="1" t="str">
        <f>VLOOKUP(V375,[1]ExpectedDeliveryTime_ID!$A$2:$B$12,2,FALSE)</f>
        <v>In mutual alignment with the project</v>
      </c>
      <c r="H375" s="1" t="str">
        <f>VLOOKUP(AC375,[1]PaymentModel_ID!$A$2:$B$7,2,FALSE)</f>
        <v>One-time payment</v>
      </c>
      <c r="I375" s="1" t="str">
        <f>VLOOKUP(W375,[1]ExpectedInvoiceDate_ID!$A$2:$B$12,2,FALSE)</f>
        <v>With FINAL DELIVERY</v>
      </c>
      <c r="J375" s="1" t="str">
        <f>VLOOKUP(X375,[1]GrantOfRights_ID!$A$2:$B$7,2,FALSE)</f>
        <v>n/a</v>
      </c>
      <c r="K375" s="1" t="str">
        <f>VLOOKUP(AE375,[1]Profile!$A$2:$B$8,2,FALSE)</f>
        <v>Qualification Package</v>
      </c>
      <c r="M375" s="1" t="str">
        <f>VLOOKUP(Y375,[1]License_Method_ID!$A$2:$B$13,2,FALSE)</f>
        <v>no technical license protection</v>
      </c>
      <c r="N375" s="1" t="s">
        <v>88</v>
      </c>
      <c r="O375" s="1">
        <v>10</v>
      </c>
      <c r="Q375" s="1" t="str">
        <f>VLOOKUP(AB375,[1]Operational_Profit_Type_ID!$A$2:$B$3,2,FALSE)</f>
        <v>Calculated</v>
      </c>
      <c r="R375" s="1" t="s">
        <v>55</v>
      </c>
      <c r="T375" s="1" t="str">
        <f>VLOOKUP(AD375,[1]UpdateRightID!$A$2:$B$4,2,FALSE)</f>
        <v>none</v>
      </c>
      <c r="U375" s="1" t="s">
        <v>48</v>
      </c>
      <c r="V375" s="1">
        <v>18</v>
      </c>
      <c r="W375" s="1">
        <v>7</v>
      </c>
      <c r="X375" s="1">
        <v>1</v>
      </c>
      <c r="Y375" s="1">
        <v>0</v>
      </c>
      <c r="Z375" s="1">
        <v>1</v>
      </c>
      <c r="AA375" s="1">
        <v>1</v>
      </c>
      <c r="AB375" s="1">
        <v>2</v>
      </c>
      <c r="AC375" s="1">
        <v>2</v>
      </c>
      <c r="AD375" s="1">
        <v>0</v>
      </c>
      <c r="AE375" s="1">
        <v>3</v>
      </c>
    </row>
    <row r="376" spans="1:31" ht="30">
      <c r="A376" s="1" t="s">
        <v>43</v>
      </c>
      <c r="B376" s="1" t="s">
        <v>1021</v>
      </c>
      <c r="C376" t="s">
        <v>1022</v>
      </c>
      <c r="E376" s="1" t="str">
        <f>VLOOKUP(Z376,[1]LicenseDuration_ID!$A$2:$B$8,2,FALSE)</f>
        <v>n/a</v>
      </c>
      <c r="F376" s="1" t="str">
        <f>VLOOKUP(AA376,[1]MaintenanceDuration_ID!$A$2:$B$5,2,FALSE)</f>
        <v>n/a</v>
      </c>
      <c r="G376" s="1" t="str">
        <f>VLOOKUP(V376,[1]ExpectedDeliveryTime_ID!$A$2:$B$12,2,FALSE)</f>
        <v>In mutual alignment with the project</v>
      </c>
      <c r="H376" s="1" t="str">
        <f>VLOOKUP(AC376,[1]PaymentModel_ID!$A$2:$B$7,2,FALSE)</f>
        <v>One-time payment</v>
      </c>
      <c r="I376" s="1" t="str">
        <f>VLOOKUP(W376,[1]ExpectedInvoiceDate_ID!$A$2:$B$12,2,FALSE)</f>
        <v>With FINAL DELIVERY</v>
      </c>
      <c r="J376" s="1" t="str">
        <f>VLOOKUP(X376,[1]GrantOfRights_ID!$A$2:$B$7,2,FALSE)</f>
        <v>n/a</v>
      </c>
      <c r="K376" s="1" t="str">
        <f>VLOOKUP(AE376,[1]Profile!$A$2:$B$8,2,FALSE)</f>
        <v>Qualification Package</v>
      </c>
      <c r="M376" s="1" t="str">
        <f>VLOOKUP(Y376,[1]License_Method_ID!$A$2:$B$13,2,FALSE)</f>
        <v>no technical license protection</v>
      </c>
      <c r="N376" s="1" t="s">
        <v>88</v>
      </c>
      <c r="O376" s="1">
        <v>10</v>
      </c>
      <c r="Q376" s="1" t="str">
        <f>VLOOKUP(AB376,[1]Operational_Profit_Type_ID!$A$2:$B$3,2,FALSE)</f>
        <v>Calculated</v>
      </c>
      <c r="R376" s="1" t="s">
        <v>55</v>
      </c>
      <c r="T376" s="1" t="str">
        <f>VLOOKUP(AD376,[1]UpdateRightID!$A$2:$B$4,2,FALSE)</f>
        <v>none</v>
      </c>
      <c r="U376" s="1" t="s">
        <v>48</v>
      </c>
      <c r="V376" s="1">
        <v>18</v>
      </c>
      <c r="W376" s="1">
        <v>7</v>
      </c>
      <c r="X376" s="1">
        <v>1</v>
      </c>
      <c r="Y376" s="1">
        <v>0</v>
      </c>
      <c r="Z376" s="1">
        <v>1</v>
      </c>
      <c r="AA376" s="1">
        <v>1</v>
      </c>
      <c r="AB376" s="1">
        <v>2</v>
      </c>
      <c r="AC376" s="1">
        <v>2</v>
      </c>
      <c r="AD376" s="1">
        <v>0</v>
      </c>
      <c r="AE376" s="1">
        <v>3</v>
      </c>
    </row>
    <row r="377" spans="1:31" ht="30">
      <c r="B377" s="1" t="s">
        <v>1023</v>
      </c>
      <c r="C377" t="s">
        <v>1024</v>
      </c>
      <c r="E377" s="1" t="e">
        <f>VLOOKUP(Z377,[1]LicenseDuration_ID!$A$2:$B$8,2,FALSE)</f>
        <v>#N/A</v>
      </c>
      <c r="F377" s="1" t="e">
        <f>VLOOKUP(AA377,[1]MaintenanceDuration_ID!$A$2:$B$5,2,FALSE)</f>
        <v>#N/A</v>
      </c>
      <c r="G377" s="1" t="e">
        <f>VLOOKUP(V377,[1]ExpectedDeliveryTime_ID!$A$2:$B$12,2,FALSE)</f>
        <v>#N/A</v>
      </c>
      <c r="H377" s="1" t="e">
        <f>VLOOKUP(AC377,[1]PaymentModel_ID!$A$2:$B$7,2,FALSE)</f>
        <v>#N/A</v>
      </c>
      <c r="I377" s="1" t="e">
        <f>VLOOKUP(W377,[1]ExpectedInvoiceDate_ID!$A$2:$B$12,2,FALSE)</f>
        <v>#N/A</v>
      </c>
      <c r="J377" s="1" t="e">
        <f>VLOOKUP(X377,[1]GrantOfRights_ID!$A$2:$B$7,2,FALSE)</f>
        <v>#N/A</v>
      </c>
      <c r="K377" s="1" t="str">
        <f>VLOOKUP(AE377,[1]Profile!$A$2:$B$8,2,FALSE)</f>
        <v>Integration Package</v>
      </c>
      <c r="M377" s="1" t="str">
        <f>VLOOKUP(Y377,[1]License_Method_ID!$A$2:$B$13,2,FALSE)</f>
        <v>no technical license protection</v>
      </c>
      <c r="N377" s="1" t="s">
        <v>88</v>
      </c>
      <c r="O377" s="1">
        <v>10</v>
      </c>
      <c r="Q377" s="1" t="str">
        <f>VLOOKUP(AB377,[1]Operational_Profit_Type_ID!$A$2:$B$3,2,FALSE)</f>
        <v>Calculated</v>
      </c>
      <c r="R377" s="1" t="s">
        <v>55</v>
      </c>
      <c r="T377" s="1" t="str">
        <f>VLOOKUP(AD377,[1]UpdateRightID!$A$2:$B$4,2,FALSE)</f>
        <v>none</v>
      </c>
      <c r="U377" s="1" t="s">
        <v>48</v>
      </c>
      <c r="Y377" s="1">
        <v>0</v>
      </c>
      <c r="AB377" s="1">
        <v>2</v>
      </c>
      <c r="AD377" s="1">
        <v>0</v>
      </c>
      <c r="AE377" s="1">
        <v>2</v>
      </c>
    </row>
    <row r="378" spans="1:31" ht="30">
      <c r="B378" s="1" t="s">
        <v>1025</v>
      </c>
      <c r="C378" t="s">
        <v>1026</v>
      </c>
      <c r="D378" s="1" t="s">
        <v>1027</v>
      </c>
      <c r="E378" s="1" t="e">
        <f>VLOOKUP(Z378,[1]LicenseDuration_ID!$A$2:$B$8,2,FALSE)</f>
        <v>#N/A</v>
      </c>
      <c r="F378" s="1" t="e">
        <f>VLOOKUP(AA378,[1]MaintenanceDuration_ID!$A$2:$B$5,2,FALSE)</f>
        <v>#N/A</v>
      </c>
      <c r="G378" s="1" t="e">
        <f>VLOOKUP(V378,[1]ExpectedDeliveryTime_ID!$A$2:$B$12,2,FALSE)</f>
        <v>#N/A</v>
      </c>
      <c r="H378" s="1" t="e">
        <f>VLOOKUP(AC378,[1]PaymentModel_ID!$A$2:$B$7,2,FALSE)</f>
        <v>#N/A</v>
      </c>
      <c r="I378" s="1" t="e">
        <f>VLOOKUP(W378,[1]ExpectedInvoiceDate_ID!$A$2:$B$12,2,FALSE)</f>
        <v>#N/A</v>
      </c>
      <c r="J378" s="1" t="e">
        <f>VLOOKUP(X378,[1]GrantOfRights_ID!$A$2:$B$7,2,FALSE)</f>
        <v>#N/A</v>
      </c>
      <c r="K378" s="1" t="str">
        <f>VLOOKUP(AE378,[1]Profile!$A$2:$B$8,2,FALSE)</f>
        <v>Integration Package</v>
      </c>
      <c r="M378" s="1" t="str">
        <f>VLOOKUP(Y378,[1]License_Method_ID!$A$2:$B$13,2,FALSE)</f>
        <v>no technical license protection</v>
      </c>
      <c r="N378" s="1" t="s">
        <v>88</v>
      </c>
      <c r="O378" s="1">
        <v>10</v>
      </c>
      <c r="Q378" s="1" t="str">
        <f>VLOOKUP(AB378,[1]Operational_Profit_Type_ID!$A$2:$B$3,2,FALSE)</f>
        <v>Calculated</v>
      </c>
      <c r="R378" s="1" t="s">
        <v>55</v>
      </c>
      <c r="T378" s="1" t="str">
        <f>VLOOKUP(AD378,[1]UpdateRightID!$A$2:$B$4,2,FALSE)</f>
        <v>none</v>
      </c>
      <c r="U378" s="1" t="s">
        <v>48</v>
      </c>
      <c r="Y378" s="1">
        <v>0</v>
      </c>
      <c r="AB378" s="1">
        <v>2</v>
      </c>
      <c r="AD378" s="1">
        <v>0</v>
      </c>
      <c r="AE378" s="1">
        <v>2</v>
      </c>
    </row>
    <row r="379" spans="1:31" ht="60">
      <c r="A379" s="1" t="s">
        <v>43</v>
      </c>
      <c r="B379" s="1" t="s">
        <v>1028</v>
      </c>
      <c r="C379" t="s">
        <v>1029</v>
      </c>
      <c r="D379" s="1" t="s">
        <v>929</v>
      </c>
      <c r="E379" s="1" t="str">
        <f>VLOOKUP(Z379,[1]LicenseDuration_ID!$A$2:$B$8,2,FALSE)</f>
        <v>12 months</v>
      </c>
      <c r="F379" s="1" t="str">
        <f>VLOOKUP(AA379,[1]MaintenanceDuration_ID!$A$2:$B$5,2,FALSE)</f>
        <v>n/a</v>
      </c>
      <c r="G379" s="1" t="str">
        <f>VLOOKUP(V379,[1]ExpectedDeliveryTime_ID!$A$2:$B$12,2,FALSE)</f>
        <v>FINALIZED PURCHASE PROCESS + 2 weeks</v>
      </c>
      <c r="H379" s="1" t="str">
        <f>VLOOKUP(AC379,[1]PaymentModel_ID!$A$2:$B$7,2,FALSE)</f>
        <v>One-time payment</v>
      </c>
      <c r="I379" s="1" t="str">
        <f>VLOOKUP(W379,[1]ExpectedInvoiceDate_ID!$A$2:$B$12,2,FALSE)</f>
        <v>With FINAL DELIVERY</v>
      </c>
      <c r="J379" s="1" t="str">
        <f>VLOOKUP(X379,[1]GrantOfRights_ID!$A$2:$B$7,2,FALSE)</f>
        <v>Evaluation and Demonstration License</v>
      </c>
      <c r="K379" s="1" t="str">
        <f>VLOOKUP(AE379,[1]Profile!$A$2:$B$8,2,FALSE)</f>
        <v>License</v>
      </c>
      <c r="M379" s="1" t="str">
        <f>VLOOKUP(Y379,[1]License_Method_ID!$A$2:$B$13,2,FALSE)</f>
        <v>no technical license protection</v>
      </c>
      <c r="N379" s="1" t="s">
        <v>47</v>
      </c>
      <c r="O379" s="1">
        <v>10</v>
      </c>
      <c r="P379" s="1">
        <v>50</v>
      </c>
      <c r="Q379" s="1" t="str">
        <f>VLOOKUP(AB379,[1]Operational_Profit_Type_ID!$A$2:$B$3,2,FALSE)</f>
        <v>Fix rate</v>
      </c>
      <c r="R379" s="1" t="s">
        <v>55</v>
      </c>
      <c r="T379" s="1" t="str">
        <f>VLOOKUP(AD379,[1]UpdateRightID!$A$2:$B$4,2,FALSE)</f>
        <v>none</v>
      </c>
      <c r="U379" s="1" t="s">
        <v>48</v>
      </c>
      <c r="V379" s="1">
        <v>2</v>
      </c>
      <c r="W379" s="1">
        <v>7</v>
      </c>
      <c r="X379" s="1">
        <v>3</v>
      </c>
      <c r="Y379" s="1">
        <v>0</v>
      </c>
      <c r="Z379" s="1">
        <v>4</v>
      </c>
      <c r="AA379" s="1">
        <v>1</v>
      </c>
      <c r="AB379" s="1">
        <v>1</v>
      </c>
      <c r="AC379" s="1">
        <v>2</v>
      </c>
      <c r="AD379" s="1">
        <v>0</v>
      </c>
      <c r="AE379" s="1">
        <v>1</v>
      </c>
    </row>
    <row r="380" spans="1:31" ht="315">
      <c r="B380" s="1" t="s">
        <v>1030</v>
      </c>
      <c r="C380" t="s">
        <v>1031</v>
      </c>
      <c r="D380" s="1" t="s">
        <v>1032</v>
      </c>
      <c r="E380" s="1" t="e">
        <f>VLOOKUP(Z380,[1]LicenseDuration_ID!$A$2:$B$8,2,FALSE)</f>
        <v>#N/A</v>
      </c>
      <c r="F380" s="1" t="e">
        <f>VLOOKUP(AA380,[1]MaintenanceDuration_ID!$A$2:$B$5,2,FALSE)</f>
        <v>#N/A</v>
      </c>
      <c r="G380" s="1" t="e">
        <f>VLOOKUP(V380,[1]ExpectedDeliveryTime_ID!$A$2:$B$12,2,FALSE)</f>
        <v>#N/A</v>
      </c>
      <c r="H380" s="1" t="e">
        <f>VLOOKUP(AC380,[1]PaymentModel_ID!$A$2:$B$7,2,FALSE)</f>
        <v>#N/A</v>
      </c>
      <c r="I380" s="1" t="e">
        <f>VLOOKUP(W380,[1]ExpectedInvoiceDate_ID!$A$2:$B$12,2,FALSE)</f>
        <v>#N/A</v>
      </c>
      <c r="J380" s="1" t="e">
        <f>VLOOKUP(X380,[1]GrantOfRights_ID!$A$2:$B$7,2,FALSE)</f>
        <v>#N/A</v>
      </c>
      <c r="K380" s="1" t="str">
        <f>VLOOKUP(AE380,[1]Profile!$A$2:$B$8,2,FALSE)</f>
        <v>License</v>
      </c>
      <c r="M380" s="1" t="str">
        <f>VLOOKUP(Y380,[1]License_Method_ID!$A$2:$B$13,2,FALSE)</f>
        <v>no technical license protection</v>
      </c>
      <c r="N380" s="1" t="s">
        <v>47</v>
      </c>
      <c r="O380" s="1">
        <v>10</v>
      </c>
      <c r="P380" s="1">
        <v>50</v>
      </c>
      <c r="Q380" s="1" t="str">
        <f>VLOOKUP(AB380,[1]Operational_Profit_Type_ID!$A$2:$B$3,2,FALSE)</f>
        <v>Fix rate</v>
      </c>
      <c r="R380" s="1" t="s">
        <v>48</v>
      </c>
      <c r="T380" s="1" t="str">
        <f>VLOOKUP(AD380,[1]UpdateRightID!$A$2:$B$4,2,FALSE)</f>
        <v>UpdateRightByConfiguration</v>
      </c>
      <c r="U380" s="1" t="s">
        <v>48</v>
      </c>
      <c r="Y380" s="1">
        <v>0</v>
      </c>
      <c r="AB380" s="1">
        <v>1</v>
      </c>
      <c r="AD380" s="1">
        <v>1</v>
      </c>
      <c r="AE380" s="1">
        <v>1</v>
      </c>
    </row>
    <row r="381" spans="1:31" ht="90">
      <c r="B381" s="1" t="s">
        <v>1033</v>
      </c>
      <c r="C381" t="s">
        <v>1034</v>
      </c>
      <c r="D381" s="1" t="s">
        <v>693</v>
      </c>
      <c r="E381" s="1" t="e">
        <f>VLOOKUP(Z381,[1]LicenseDuration_ID!$A$2:$B$8,2,FALSE)</f>
        <v>#N/A</v>
      </c>
      <c r="F381" s="1" t="e">
        <f>VLOOKUP(AA381,[1]MaintenanceDuration_ID!$A$2:$B$5,2,FALSE)</f>
        <v>#N/A</v>
      </c>
      <c r="G381" s="1" t="e">
        <f>VLOOKUP(V381,[1]ExpectedDeliveryTime_ID!$A$2:$B$12,2,FALSE)</f>
        <v>#N/A</v>
      </c>
      <c r="H381" s="1" t="e">
        <f>VLOOKUP(AC381,[1]PaymentModel_ID!$A$2:$B$7,2,FALSE)</f>
        <v>#N/A</v>
      </c>
      <c r="I381" s="1" t="e">
        <f>VLOOKUP(W381,[1]ExpectedInvoiceDate_ID!$A$2:$B$12,2,FALSE)</f>
        <v>#N/A</v>
      </c>
      <c r="J381" s="1" t="e">
        <f>VLOOKUP(X381,[1]GrantOfRights_ID!$A$2:$B$7,2,FALSE)</f>
        <v>#N/A</v>
      </c>
      <c r="K381" s="1" t="str">
        <f>VLOOKUP(AE381,[1]Profile!$A$2:$B$8,2,FALSE)</f>
        <v>License</v>
      </c>
      <c r="M381" s="1" t="str">
        <f>VLOOKUP(Y381,[1]License_Method_ID!$A$2:$B$13,2,FALSE)</f>
        <v>no technical license protection</v>
      </c>
      <c r="N381" s="1" t="s">
        <v>47</v>
      </c>
      <c r="O381" s="1">
        <v>10</v>
      </c>
      <c r="P381" s="1">
        <v>50</v>
      </c>
      <c r="Q381" s="1" t="str">
        <f>VLOOKUP(AB381,[1]Operational_Profit_Type_ID!$A$2:$B$3,2,FALSE)</f>
        <v>Fix rate</v>
      </c>
      <c r="R381" s="1" t="s">
        <v>48</v>
      </c>
      <c r="T381" s="1" t="str">
        <f>VLOOKUP(AD381,[1]UpdateRightID!$A$2:$B$4,2,FALSE)</f>
        <v>TotalAmountAsUpdateRight</v>
      </c>
      <c r="U381" s="1" t="s">
        <v>48</v>
      </c>
      <c r="Y381" s="1">
        <v>0</v>
      </c>
      <c r="AB381" s="1">
        <v>1</v>
      </c>
      <c r="AD381" s="1">
        <v>2</v>
      </c>
      <c r="AE381" s="1">
        <v>1</v>
      </c>
    </row>
    <row r="382" spans="1:31" ht="195">
      <c r="B382" s="1" t="s">
        <v>1035</v>
      </c>
      <c r="C382" t="s">
        <v>1036</v>
      </c>
      <c r="D382" s="1" t="s">
        <v>1037</v>
      </c>
      <c r="E382" s="1" t="e">
        <f>VLOOKUP(Z382,[1]LicenseDuration_ID!$A$2:$B$8,2,FALSE)</f>
        <v>#N/A</v>
      </c>
      <c r="F382" s="1" t="e">
        <f>VLOOKUP(AA382,[1]MaintenanceDuration_ID!$A$2:$B$5,2,FALSE)</f>
        <v>#N/A</v>
      </c>
      <c r="G382" s="1" t="e">
        <f>VLOOKUP(V382,[1]ExpectedDeliveryTime_ID!$A$2:$B$12,2,FALSE)</f>
        <v>#N/A</v>
      </c>
      <c r="H382" s="1" t="e">
        <f>VLOOKUP(AC382,[1]PaymentModel_ID!$A$2:$B$7,2,FALSE)</f>
        <v>#N/A</v>
      </c>
      <c r="I382" s="1" t="e">
        <f>VLOOKUP(W382,[1]ExpectedInvoiceDate_ID!$A$2:$B$12,2,FALSE)</f>
        <v>#N/A</v>
      </c>
      <c r="J382" s="1" t="e">
        <f>VLOOKUP(X382,[1]GrantOfRights_ID!$A$2:$B$7,2,FALSE)</f>
        <v>#N/A</v>
      </c>
      <c r="K382" s="1" t="str">
        <f>VLOOKUP(AE382,[1]Profile!$A$2:$B$8,2,FALSE)</f>
        <v>License</v>
      </c>
      <c r="M382" s="1" t="str">
        <f>VLOOKUP(Y382,[1]License_Method_ID!$A$2:$B$13,2,FALSE)</f>
        <v>no technical license protection</v>
      </c>
      <c r="N382" s="1" t="s">
        <v>47</v>
      </c>
      <c r="O382" s="1">
        <v>10</v>
      </c>
      <c r="P382" s="1">
        <v>50</v>
      </c>
      <c r="Q382" s="1" t="str">
        <f>VLOOKUP(AB382,[1]Operational_Profit_Type_ID!$A$2:$B$3,2,FALSE)</f>
        <v>Fix rate</v>
      </c>
      <c r="R382" s="1" t="s">
        <v>48</v>
      </c>
      <c r="T382" s="1" t="str">
        <f>VLOOKUP(AD382,[1]UpdateRightID!$A$2:$B$4,2,FALSE)</f>
        <v>UpdateRightByConfiguration</v>
      </c>
      <c r="U382" s="1" t="s">
        <v>48</v>
      </c>
      <c r="Y382" s="1">
        <v>0</v>
      </c>
      <c r="AB382" s="1">
        <v>1</v>
      </c>
      <c r="AD382" s="1">
        <v>1</v>
      </c>
      <c r="AE382" s="1">
        <v>1</v>
      </c>
    </row>
    <row r="383" spans="1:31" ht="300">
      <c r="B383" s="1" t="s">
        <v>1038</v>
      </c>
      <c r="C383" t="s">
        <v>1039</v>
      </c>
      <c r="D383" s="1" t="s">
        <v>1040</v>
      </c>
      <c r="E383" s="1" t="e">
        <f>VLOOKUP(Z383,[1]LicenseDuration_ID!$A$2:$B$8,2,FALSE)</f>
        <v>#N/A</v>
      </c>
      <c r="F383" s="1" t="e">
        <f>VLOOKUP(AA383,[1]MaintenanceDuration_ID!$A$2:$B$5,2,FALSE)</f>
        <v>#N/A</v>
      </c>
      <c r="G383" s="1" t="e">
        <f>VLOOKUP(V383,[1]ExpectedDeliveryTime_ID!$A$2:$B$12,2,FALSE)</f>
        <v>#N/A</v>
      </c>
      <c r="H383" s="1" t="e">
        <f>VLOOKUP(AC383,[1]PaymentModel_ID!$A$2:$B$7,2,FALSE)</f>
        <v>#N/A</v>
      </c>
      <c r="I383" s="1" t="e">
        <f>VLOOKUP(W383,[1]ExpectedInvoiceDate_ID!$A$2:$B$12,2,FALSE)</f>
        <v>#N/A</v>
      </c>
      <c r="J383" s="1" t="e">
        <f>VLOOKUP(X383,[1]GrantOfRights_ID!$A$2:$B$7,2,FALSE)</f>
        <v>#N/A</v>
      </c>
      <c r="K383" s="1" t="str">
        <f>VLOOKUP(AE383,[1]Profile!$A$2:$B$8,2,FALSE)</f>
        <v>License</v>
      </c>
      <c r="M383" s="1" t="str">
        <f>VLOOKUP(Y383,[1]License_Method_ID!$A$2:$B$13,2,FALSE)</f>
        <v>no technical license protection</v>
      </c>
      <c r="N383" s="1" t="s">
        <v>47</v>
      </c>
      <c r="O383" s="1">
        <v>10</v>
      </c>
      <c r="P383" s="1">
        <v>50</v>
      </c>
      <c r="Q383" s="1" t="str">
        <f>VLOOKUP(AB383,[1]Operational_Profit_Type_ID!$A$2:$B$3,2,FALSE)</f>
        <v>Fix rate</v>
      </c>
      <c r="R383" s="1" t="s">
        <v>48</v>
      </c>
      <c r="T383" s="1" t="str">
        <f>VLOOKUP(AD383,[1]UpdateRightID!$A$2:$B$4,2,FALSE)</f>
        <v>UpdateRightByConfiguration</v>
      </c>
      <c r="U383" s="1" t="s">
        <v>48</v>
      </c>
      <c r="Y383" s="1">
        <v>0</v>
      </c>
      <c r="AB383" s="1">
        <v>1</v>
      </c>
      <c r="AD383" s="1">
        <v>1</v>
      </c>
      <c r="AE383" s="1">
        <v>1</v>
      </c>
    </row>
    <row r="384" spans="1:31">
      <c r="B384" s="1" t="s">
        <v>1041</v>
      </c>
      <c r="C384" t="s">
        <v>1042</v>
      </c>
      <c r="E384" s="1" t="e">
        <f>VLOOKUP(Z384,[1]LicenseDuration_ID!$A$2:$B$8,2,FALSE)</f>
        <v>#N/A</v>
      </c>
      <c r="F384" s="1" t="e">
        <f>VLOOKUP(AA384,[1]MaintenanceDuration_ID!$A$2:$B$5,2,FALSE)</f>
        <v>#N/A</v>
      </c>
      <c r="G384" s="1" t="e">
        <f>VLOOKUP(V384,[1]ExpectedDeliveryTime_ID!$A$2:$B$12,2,FALSE)</f>
        <v>#N/A</v>
      </c>
      <c r="H384" s="1" t="e">
        <f>VLOOKUP(AC384,[1]PaymentModel_ID!$A$2:$B$7,2,FALSE)</f>
        <v>#N/A</v>
      </c>
      <c r="I384" s="1" t="e">
        <f>VLOOKUP(W384,[1]ExpectedInvoiceDate_ID!$A$2:$B$12,2,FALSE)</f>
        <v>#N/A</v>
      </c>
      <c r="J384" s="1" t="e">
        <f>VLOOKUP(X384,[1]GrantOfRights_ID!$A$2:$B$7,2,FALSE)</f>
        <v>#N/A</v>
      </c>
      <c r="K384" s="1" t="str">
        <f>VLOOKUP(AE384,[1]Profile!$A$2:$B$8,2,FALSE)</f>
        <v>Training</v>
      </c>
      <c r="M384" s="1" t="str">
        <f>VLOOKUP(Y384,[1]License_Method_ID!$A$2:$B$13,2,FALSE)</f>
        <v>no technical license protection</v>
      </c>
      <c r="N384" s="1" t="s">
        <v>88</v>
      </c>
      <c r="O384" s="1">
        <v>10</v>
      </c>
      <c r="Q384" s="1" t="str">
        <f>VLOOKUP(AB384,[1]Operational_Profit_Type_ID!$A$2:$B$3,2,FALSE)</f>
        <v>Calculated</v>
      </c>
      <c r="R384" s="1" t="s">
        <v>55</v>
      </c>
      <c r="T384" s="1" t="str">
        <f>VLOOKUP(AD384,[1]UpdateRightID!$A$2:$B$4,2,FALSE)</f>
        <v>none</v>
      </c>
      <c r="U384" s="1" t="s">
        <v>48</v>
      </c>
      <c r="Y384" s="1">
        <v>0</v>
      </c>
      <c r="AB384" s="1">
        <v>2</v>
      </c>
      <c r="AD384" s="1">
        <v>0</v>
      </c>
      <c r="AE384" s="1">
        <v>5</v>
      </c>
    </row>
    <row r="385" spans="1:31">
      <c r="B385" s="1" t="s">
        <v>1043</v>
      </c>
      <c r="C385" t="s">
        <v>1044</v>
      </c>
      <c r="E385" s="1" t="e">
        <f>VLOOKUP(Z385,[1]LicenseDuration_ID!$A$2:$B$8,2,FALSE)</f>
        <v>#N/A</v>
      </c>
      <c r="F385" s="1" t="e">
        <f>VLOOKUP(AA385,[1]MaintenanceDuration_ID!$A$2:$B$5,2,FALSE)</f>
        <v>#N/A</v>
      </c>
      <c r="G385" s="1" t="e">
        <f>VLOOKUP(V385,[1]ExpectedDeliveryTime_ID!$A$2:$B$12,2,FALSE)</f>
        <v>#N/A</v>
      </c>
      <c r="H385" s="1" t="e">
        <f>VLOOKUP(AC385,[1]PaymentModel_ID!$A$2:$B$7,2,FALSE)</f>
        <v>#N/A</v>
      </c>
      <c r="I385" s="1" t="e">
        <f>VLOOKUP(W385,[1]ExpectedInvoiceDate_ID!$A$2:$B$12,2,FALSE)</f>
        <v>#N/A</v>
      </c>
      <c r="J385" s="1" t="e">
        <f>VLOOKUP(X385,[1]GrantOfRights_ID!$A$2:$B$7,2,FALSE)</f>
        <v>#N/A</v>
      </c>
      <c r="K385" s="1" t="str">
        <f>VLOOKUP(AE385,[1]Profile!$A$2:$B$8,2,FALSE)</f>
        <v>Training</v>
      </c>
      <c r="M385" s="1" t="str">
        <f>VLOOKUP(Y385,[1]License_Method_ID!$A$2:$B$13,2,FALSE)</f>
        <v>no technical license protection</v>
      </c>
      <c r="N385" s="1" t="s">
        <v>88</v>
      </c>
      <c r="O385" s="1">
        <v>10</v>
      </c>
      <c r="Q385" s="1" t="str">
        <f>VLOOKUP(AB385,[1]Operational_Profit_Type_ID!$A$2:$B$3,2,FALSE)</f>
        <v>Calculated</v>
      </c>
      <c r="R385" s="1" t="s">
        <v>55</v>
      </c>
      <c r="T385" s="1" t="str">
        <f>VLOOKUP(AD385,[1]UpdateRightID!$A$2:$B$4,2,FALSE)</f>
        <v>none</v>
      </c>
      <c r="U385" s="1" t="s">
        <v>48</v>
      </c>
      <c r="Y385" s="1">
        <v>0</v>
      </c>
      <c r="AB385" s="1">
        <v>2</v>
      </c>
      <c r="AD385" s="1">
        <v>0</v>
      </c>
      <c r="AE385" s="1">
        <v>5</v>
      </c>
    </row>
    <row r="386" spans="1:31">
      <c r="B386" s="1" t="s">
        <v>1045</v>
      </c>
      <c r="C386" t="s">
        <v>1046</v>
      </c>
      <c r="E386" s="1" t="e">
        <f>VLOOKUP(Z386,[1]LicenseDuration_ID!$A$2:$B$8,2,FALSE)</f>
        <v>#N/A</v>
      </c>
      <c r="F386" s="1" t="e">
        <f>VLOOKUP(AA386,[1]MaintenanceDuration_ID!$A$2:$B$5,2,FALSE)</f>
        <v>#N/A</v>
      </c>
      <c r="G386" s="1" t="e">
        <f>VLOOKUP(V386,[1]ExpectedDeliveryTime_ID!$A$2:$B$12,2,FALSE)</f>
        <v>#N/A</v>
      </c>
      <c r="H386" s="1" t="e">
        <f>VLOOKUP(AC386,[1]PaymentModel_ID!$A$2:$B$7,2,FALSE)</f>
        <v>#N/A</v>
      </c>
      <c r="I386" s="1" t="e">
        <f>VLOOKUP(W386,[1]ExpectedInvoiceDate_ID!$A$2:$B$12,2,FALSE)</f>
        <v>#N/A</v>
      </c>
      <c r="J386" s="1" t="e">
        <f>VLOOKUP(X386,[1]GrantOfRights_ID!$A$2:$B$7,2,FALSE)</f>
        <v>#N/A</v>
      </c>
      <c r="K386" s="1" t="str">
        <f>VLOOKUP(AE386,[1]Profile!$A$2:$B$8,2,FALSE)</f>
        <v>Training</v>
      </c>
      <c r="M386" s="1" t="str">
        <f>VLOOKUP(Y386,[1]License_Method_ID!$A$2:$B$13,2,FALSE)</f>
        <v>no technical license protection</v>
      </c>
      <c r="N386" s="1" t="s">
        <v>47</v>
      </c>
      <c r="O386" s="1">
        <v>10</v>
      </c>
      <c r="Q386" s="1" t="str">
        <f>VLOOKUP(AB386,[1]Operational_Profit_Type_ID!$A$2:$B$3,2,FALSE)</f>
        <v>Calculated</v>
      </c>
      <c r="R386" s="1" t="s">
        <v>55</v>
      </c>
      <c r="T386" s="1" t="str">
        <f>VLOOKUP(AD386,[1]UpdateRightID!$A$2:$B$4,2,FALSE)</f>
        <v>none</v>
      </c>
      <c r="U386" s="1" t="s">
        <v>48</v>
      </c>
      <c r="Y386" s="1">
        <v>0</v>
      </c>
      <c r="AB386" s="1">
        <v>2</v>
      </c>
      <c r="AD386" s="1">
        <v>0</v>
      </c>
      <c r="AE386" s="1">
        <v>5</v>
      </c>
    </row>
    <row r="387" spans="1:31" ht="60">
      <c r="B387" s="1" t="s">
        <v>1047</v>
      </c>
      <c r="C387" t="s">
        <v>1048</v>
      </c>
      <c r="D387" s="1" t="s">
        <v>94</v>
      </c>
      <c r="E387" s="1" t="e">
        <f>VLOOKUP(Z387,[1]LicenseDuration_ID!$A$2:$B$8,2,FALSE)</f>
        <v>#N/A</v>
      </c>
      <c r="F387" s="1" t="e">
        <f>VLOOKUP(AA387,[1]MaintenanceDuration_ID!$A$2:$B$5,2,FALSE)</f>
        <v>#N/A</v>
      </c>
      <c r="G387" s="1" t="e">
        <f>VLOOKUP(V387,[1]ExpectedDeliveryTime_ID!$A$2:$B$12,2,FALSE)</f>
        <v>#N/A</v>
      </c>
      <c r="H387" s="1" t="e">
        <f>VLOOKUP(AC387,[1]PaymentModel_ID!$A$2:$B$7,2,FALSE)</f>
        <v>#N/A</v>
      </c>
      <c r="I387" s="1" t="e">
        <f>VLOOKUP(W387,[1]ExpectedInvoiceDate_ID!$A$2:$B$12,2,FALSE)</f>
        <v>#N/A</v>
      </c>
      <c r="J387" s="1" t="e">
        <f>VLOOKUP(X387,[1]GrantOfRights_ID!$A$2:$B$7,2,FALSE)</f>
        <v>#N/A</v>
      </c>
      <c r="K387" s="1" t="str">
        <f>VLOOKUP(AE387,[1]Profile!$A$2:$B$8,2,FALSE)</f>
        <v>License</v>
      </c>
      <c r="M387" s="1" t="str">
        <f>VLOOKUP(Y387,[1]License_Method_ID!$A$2:$B$13,2,FALSE)</f>
        <v>ADTF Node-Locked License File</v>
      </c>
      <c r="N387" s="1" t="s">
        <v>47</v>
      </c>
      <c r="O387" s="1">
        <v>10</v>
      </c>
      <c r="P387" s="1">
        <v>50</v>
      </c>
      <c r="Q387" s="1" t="str">
        <f>VLOOKUP(AB387,[1]Operational_Profit_Type_ID!$A$2:$B$3,2,FALSE)</f>
        <v>Fix rate</v>
      </c>
      <c r="R387" s="1" t="s">
        <v>48</v>
      </c>
      <c r="T387" s="1" t="str">
        <f>VLOOKUP(AD387,[1]UpdateRightID!$A$2:$B$4,2,FALSE)</f>
        <v>UpdateRightByConfiguration</v>
      </c>
      <c r="U387" s="1" t="s">
        <v>48</v>
      </c>
      <c r="Y387" s="1">
        <v>7</v>
      </c>
      <c r="AB387" s="1">
        <v>1</v>
      </c>
      <c r="AD387" s="1">
        <v>1</v>
      </c>
      <c r="AE387" s="1">
        <v>1</v>
      </c>
    </row>
    <row r="388" spans="1:31" ht="60">
      <c r="B388" s="1" t="s">
        <v>1049</v>
      </c>
      <c r="C388" t="s">
        <v>1050</v>
      </c>
      <c r="D388" s="1" t="s">
        <v>94</v>
      </c>
      <c r="E388" s="1" t="e">
        <f>VLOOKUP(Z388,[1]LicenseDuration_ID!$A$2:$B$8,2,FALSE)</f>
        <v>#N/A</v>
      </c>
      <c r="F388" s="1" t="e">
        <f>VLOOKUP(AA388,[1]MaintenanceDuration_ID!$A$2:$B$5,2,FALSE)</f>
        <v>#N/A</v>
      </c>
      <c r="G388" s="1" t="e">
        <f>VLOOKUP(V388,[1]ExpectedDeliveryTime_ID!$A$2:$B$12,2,FALSE)</f>
        <v>#N/A</v>
      </c>
      <c r="H388" s="1" t="e">
        <f>VLOOKUP(AC388,[1]PaymentModel_ID!$A$2:$B$7,2,FALSE)</f>
        <v>#N/A</v>
      </c>
      <c r="I388" s="1" t="e">
        <f>VLOOKUP(W388,[1]ExpectedInvoiceDate_ID!$A$2:$B$12,2,FALSE)</f>
        <v>#N/A</v>
      </c>
      <c r="J388" s="1" t="e">
        <f>VLOOKUP(X388,[1]GrantOfRights_ID!$A$2:$B$7,2,FALSE)</f>
        <v>#N/A</v>
      </c>
      <c r="K388" s="1" t="str">
        <f>VLOOKUP(AE388,[1]Profile!$A$2:$B$8,2,FALSE)</f>
        <v>License</v>
      </c>
      <c r="M388" s="1" t="str">
        <f>VLOOKUP(Y388,[1]License_Method_ID!$A$2:$B$13,2,FALSE)</f>
        <v>ADTF Node-Locked License File</v>
      </c>
      <c r="N388" s="1" t="s">
        <v>47</v>
      </c>
      <c r="O388" s="1">
        <v>10</v>
      </c>
      <c r="P388" s="1">
        <v>50</v>
      </c>
      <c r="Q388" s="1" t="str">
        <f>VLOOKUP(AB388,[1]Operational_Profit_Type_ID!$A$2:$B$3,2,FALSE)</f>
        <v>Fix rate</v>
      </c>
      <c r="R388" s="1" t="s">
        <v>48</v>
      </c>
      <c r="T388" s="1" t="str">
        <f>VLOOKUP(AD388,[1]UpdateRightID!$A$2:$B$4,2,FALSE)</f>
        <v>TotalAmountAsUpdateRight</v>
      </c>
      <c r="U388" s="1" t="s">
        <v>48</v>
      </c>
      <c r="Y388" s="1">
        <v>7</v>
      </c>
      <c r="AB388" s="1">
        <v>1</v>
      </c>
      <c r="AD388" s="1">
        <v>2</v>
      </c>
      <c r="AE388" s="1">
        <v>1</v>
      </c>
    </row>
    <row r="389" spans="1:31" ht="60">
      <c r="B389" s="1" t="s">
        <v>1051</v>
      </c>
      <c r="C389" t="s">
        <v>1052</v>
      </c>
      <c r="D389" s="1" t="s">
        <v>1053</v>
      </c>
      <c r="E389" s="1" t="e">
        <f>VLOOKUP(Z389,[1]LicenseDuration_ID!$A$2:$B$8,2,FALSE)</f>
        <v>#N/A</v>
      </c>
      <c r="F389" s="1" t="e">
        <f>VLOOKUP(AA389,[1]MaintenanceDuration_ID!$A$2:$B$5,2,FALSE)</f>
        <v>#N/A</v>
      </c>
      <c r="G389" s="1" t="e">
        <f>VLOOKUP(V389,[1]ExpectedDeliveryTime_ID!$A$2:$B$12,2,FALSE)</f>
        <v>#N/A</v>
      </c>
      <c r="H389" s="1" t="e">
        <f>VLOOKUP(AC389,[1]PaymentModel_ID!$A$2:$B$7,2,FALSE)</f>
        <v>#N/A</v>
      </c>
      <c r="I389" s="1" t="e">
        <f>VLOOKUP(W389,[1]ExpectedInvoiceDate_ID!$A$2:$B$12,2,FALSE)</f>
        <v>#N/A</v>
      </c>
      <c r="J389" s="1" t="e">
        <f>VLOOKUP(X389,[1]GrantOfRights_ID!$A$2:$B$7,2,FALSE)</f>
        <v>#N/A</v>
      </c>
      <c r="K389" s="1" t="str">
        <f>VLOOKUP(AE389,[1]Profile!$A$2:$B$8,2,FALSE)</f>
        <v>Porting</v>
      </c>
      <c r="M389" s="1" t="str">
        <f>VLOOKUP(Y389,[1]License_Method_ID!$A$2:$B$13,2,FALSE)</f>
        <v>no technical license protection</v>
      </c>
      <c r="N389" s="1" t="s">
        <v>88</v>
      </c>
      <c r="O389" s="1">
        <v>10</v>
      </c>
      <c r="Q389" s="1" t="str">
        <f>VLOOKUP(AB389,[1]Operational_Profit_Type_ID!$A$2:$B$3,2,FALSE)</f>
        <v>Calculated</v>
      </c>
      <c r="R389" s="1" t="s">
        <v>55</v>
      </c>
      <c r="T389" s="1" t="str">
        <f>VLOOKUP(AD389,[1]UpdateRightID!$A$2:$B$4,2,FALSE)</f>
        <v>none</v>
      </c>
      <c r="U389" s="1" t="s">
        <v>48</v>
      </c>
      <c r="Y389" s="1">
        <v>0</v>
      </c>
      <c r="AB389" s="1">
        <v>2</v>
      </c>
      <c r="AD389" s="1">
        <v>0</v>
      </c>
      <c r="AE389" s="1">
        <v>4</v>
      </c>
    </row>
    <row r="390" spans="1:31" ht="90">
      <c r="B390" s="1" t="s">
        <v>1054</v>
      </c>
      <c r="C390" t="s">
        <v>1055</v>
      </c>
      <c r="D390" s="1" t="s">
        <v>1056</v>
      </c>
      <c r="E390" s="1" t="e">
        <f>VLOOKUP(Z390,[1]LicenseDuration_ID!$A$2:$B$8,2,FALSE)</f>
        <v>#N/A</v>
      </c>
      <c r="F390" s="1" t="e">
        <f>VLOOKUP(AA390,[1]MaintenanceDuration_ID!$A$2:$B$5,2,FALSE)</f>
        <v>#N/A</v>
      </c>
      <c r="G390" s="1" t="e">
        <f>VLOOKUP(V390,[1]ExpectedDeliveryTime_ID!$A$2:$B$12,2,FALSE)</f>
        <v>#N/A</v>
      </c>
      <c r="H390" s="1" t="e">
        <f>VLOOKUP(AC390,[1]PaymentModel_ID!$A$2:$B$7,2,FALSE)</f>
        <v>#N/A</v>
      </c>
      <c r="I390" s="1" t="e">
        <f>VLOOKUP(W390,[1]ExpectedInvoiceDate_ID!$A$2:$B$12,2,FALSE)</f>
        <v>#N/A</v>
      </c>
      <c r="J390" s="1" t="e">
        <f>VLOOKUP(X390,[1]GrantOfRights_ID!$A$2:$B$7,2,FALSE)</f>
        <v>#N/A</v>
      </c>
      <c r="K390" s="1" t="str">
        <f>VLOOKUP(AE390,[1]Profile!$A$2:$B$8,2,FALSE)</f>
        <v>License</v>
      </c>
      <c r="M390" s="1" t="str">
        <f>VLOOKUP(Y390,[1]License_Method_ID!$A$2:$B$13,2,FALSE)</f>
        <v>no technical license protection</v>
      </c>
      <c r="N390" s="1" t="s">
        <v>47</v>
      </c>
      <c r="O390" s="1">
        <v>10</v>
      </c>
      <c r="P390" s="1">
        <v>50</v>
      </c>
      <c r="Q390" s="1" t="str">
        <f>VLOOKUP(AB390,[1]Operational_Profit_Type_ID!$A$2:$B$3,2,FALSE)</f>
        <v>Fix rate</v>
      </c>
      <c r="R390" s="1" t="s">
        <v>48</v>
      </c>
      <c r="S390" s="1">
        <v>3</v>
      </c>
      <c r="T390" s="1" t="str">
        <f>VLOOKUP(AD390,[1]UpdateRightID!$A$2:$B$4,2,FALSE)</f>
        <v>UpdateRightByConfiguration</v>
      </c>
      <c r="U390" s="1" t="s">
        <v>48</v>
      </c>
      <c r="Y390" s="1">
        <v>0</v>
      </c>
      <c r="AB390" s="1">
        <v>1</v>
      </c>
      <c r="AD390" s="1">
        <v>1</v>
      </c>
      <c r="AE390" s="1">
        <v>1</v>
      </c>
    </row>
    <row r="391" spans="1:31" ht="90">
      <c r="B391" s="1" t="s">
        <v>1057</v>
      </c>
      <c r="C391" t="s">
        <v>1058</v>
      </c>
      <c r="D391" s="1" t="s">
        <v>472</v>
      </c>
      <c r="E391" s="1" t="e">
        <f>VLOOKUP(Z391,[1]LicenseDuration_ID!$A$2:$B$8,2,FALSE)</f>
        <v>#N/A</v>
      </c>
      <c r="F391" s="1" t="e">
        <f>VLOOKUP(AA391,[1]MaintenanceDuration_ID!$A$2:$B$5,2,FALSE)</f>
        <v>#N/A</v>
      </c>
      <c r="G391" s="1" t="e">
        <f>VLOOKUP(V391,[1]ExpectedDeliveryTime_ID!$A$2:$B$12,2,FALSE)</f>
        <v>#N/A</v>
      </c>
      <c r="H391" s="1" t="e">
        <f>VLOOKUP(AC391,[1]PaymentModel_ID!$A$2:$B$7,2,FALSE)</f>
        <v>#N/A</v>
      </c>
      <c r="I391" s="1" t="e">
        <f>VLOOKUP(W391,[1]ExpectedInvoiceDate_ID!$A$2:$B$12,2,FALSE)</f>
        <v>#N/A</v>
      </c>
      <c r="J391" s="1" t="e">
        <f>VLOOKUP(X391,[1]GrantOfRights_ID!$A$2:$B$7,2,FALSE)</f>
        <v>#N/A</v>
      </c>
      <c r="K391" s="1" t="str">
        <f>VLOOKUP(AE391,[1]Profile!$A$2:$B$8,2,FALSE)</f>
        <v>License</v>
      </c>
      <c r="M391" s="1" t="str">
        <f>VLOOKUP(Y391,[1]License_Method_ID!$A$2:$B$13,2,FALSE)</f>
        <v>no technical license protection</v>
      </c>
      <c r="N391" s="1" t="s">
        <v>47</v>
      </c>
      <c r="O391" s="1">
        <v>10</v>
      </c>
      <c r="P391" s="1">
        <v>50</v>
      </c>
      <c r="Q391" s="1" t="str">
        <f>VLOOKUP(AB391,[1]Operational_Profit_Type_ID!$A$2:$B$3,2,FALSE)</f>
        <v>Fix rate</v>
      </c>
      <c r="R391" s="1" t="s">
        <v>48</v>
      </c>
      <c r="T391" s="1" t="str">
        <f>VLOOKUP(AD391,[1]UpdateRightID!$A$2:$B$4,2,FALSE)</f>
        <v>TotalAmountAsUpdateRight</v>
      </c>
      <c r="U391" s="1" t="s">
        <v>48</v>
      </c>
      <c r="Y391" s="1">
        <v>0</v>
      </c>
      <c r="AB391" s="1">
        <v>1</v>
      </c>
      <c r="AD391" s="1">
        <v>2</v>
      </c>
      <c r="AE391" s="1">
        <v>1</v>
      </c>
    </row>
    <row r="392" spans="1:31" ht="180">
      <c r="A392" s="1" t="s">
        <v>43</v>
      </c>
      <c r="B392" s="1" t="s">
        <v>1059</v>
      </c>
      <c r="C392" t="s">
        <v>1060</v>
      </c>
      <c r="D392" s="1" t="s">
        <v>1061</v>
      </c>
      <c r="E392" s="1" t="str">
        <f>VLOOKUP(Z392,[1]LicenseDuration_ID!$A$2:$B$8,2,FALSE)</f>
        <v>n/a</v>
      </c>
      <c r="F392" s="1" t="str">
        <f>VLOOKUP(AA392,[1]MaintenanceDuration_ID!$A$2:$B$5,2,FALSE)</f>
        <v>12 months</v>
      </c>
      <c r="G392" s="1" t="str">
        <f>VLOOKUP(V392,[1]ExpectedDeliveryTime_ID!$A$2:$B$12,2,FALSE)</f>
        <v>n/a</v>
      </c>
      <c r="H392" s="1" t="str">
        <f>VLOOKUP(AC392,[1]PaymentModel_ID!$A$2:$B$7,2,FALSE)</f>
        <v>Annual payment</v>
      </c>
      <c r="I392" s="1" t="str">
        <f>VLOOKUP(W392,[1]ExpectedInvoiceDate_ID!$A$2:$B$12,2,FALSE)</f>
        <v>Anually at the beginning of the extended period</v>
      </c>
      <c r="J392" s="1" t="str">
        <f>VLOOKUP(X392,[1]GrantOfRights_ID!$A$2:$B$7,2,FALSE)</f>
        <v>n/a</v>
      </c>
      <c r="K392" s="1" t="str">
        <f>VLOOKUP(AE392,[1]Profile!$A$2:$B$8,2,FALSE)</f>
        <v>License</v>
      </c>
      <c r="M392" s="1" t="str">
        <f>VLOOKUP(Y392,[1]License_Method_ID!$A$2:$B$13,2,FALSE)</f>
        <v>no technical license protection</v>
      </c>
      <c r="N392" s="1" t="s">
        <v>47</v>
      </c>
      <c r="O392" s="1">
        <v>10</v>
      </c>
      <c r="P392" s="1">
        <v>50</v>
      </c>
      <c r="Q392" s="1" t="str">
        <f>VLOOKUP(AB392,[1]Operational_Profit_Type_ID!$A$2:$B$3,2,FALSE)</f>
        <v>Fix rate</v>
      </c>
      <c r="R392" s="1" t="s">
        <v>55</v>
      </c>
      <c r="T392" s="1" t="str">
        <f>VLOOKUP(AD392,[1]UpdateRightID!$A$2:$B$4,2,FALSE)</f>
        <v>TotalAmountAsUpdateRight</v>
      </c>
      <c r="U392" s="1" t="s">
        <v>48</v>
      </c>
      <c r="V392" s="1">
        <v>1</v>
      </c>
      <c r="W392" s="1">
        <v>2</v>
      </c>
      <c r="X392" s="1">
        <v>1</v>
      </c>
      <c r="Y392" s="1">
        <v>0</v>
      </c>
      <c r="Z392" s="1">
        <v>1</v>
      </c>
      <c r="AA392" s="1">
        <v>3</v>
      </c>
      <c r="AB392" s="1">
        <v>1</v>
      </c>
      <c r="AC392" s="1">
        <v>3</v>
      </c>
      <c r="AD392" s="1">
        <v>2</v>
      </c>
      <c r="AE392" s="1">
        <v>1</v>
      </c>
    </row>
    <row r="393" spans="1:31" ht="360">
      <c r="B393" s="1" t="s">
        <v>1062</v>
      </c>
      <c r="C393" t="s">
        <v>1063</v>
      </c>
      <c r="D393" s="1" t="s">
        <v>1064</v>
      </c>
      <c r="E393" s="1" t="e">
        <f>VLOOKUP(Z393,[1]LicenseDuration_ID!$A$2:$B$8,2,FALSE)</f>
        <v>#N/A</v>
      </c>
      <c r="F393" s="1" t="e">
        <f>VLOOKUP(AA393,[1]MaintenanceDuration_ID!$A$2:$B$5,2,FALSE)</f>
        <v>#N/A</v>
      </c>
      <c r="G393" s="1" t="e">
        <f>VLOOKUP(V393,[1]ExpectedDeliveryTime_ID!$A$2:$B$12,2,FALSE)</f>
        <v>#N/A</v>
      </c>
      <c r="H393" s="1" t="e">
        <f>VLOOKUP(AC393,[1]PaymentModel_ID!$A$2:$B$7,2,FALSE)</f>
        <v>#N/A</v>
      </c>
      <c r="I393" s="1" t="e">
        <f>VLOOKUP(W393,[1]ExpectedInvoiceDate_ID!$A$2:$B$12,2,FALSE)</f>
        <v>#N/A</v>
      </c>
      <c r="J393" s="1" t="e">
        <f>VLOOKUP(X393,[1]GrantOfRights_ID!$A$2:$B$7,2,FALSE)</f>
        <v>#N/A</v>
      </c>
      <c r="K393" s="1" t="str">
        <f>VLOOKUP(AE393,[1]Profile!$A$2:$B$8,2,FALSE)</f>
        <v>License</v>
      </c>
      <c r="M393" s="1" t="str">
        <f>VLOOKUP(Y393,[1]License_Method_ID!$A$2:$B$13,2,FALSE)</f>
        <v>no technical license protection</v>
      </c>
      <c r="N393" s="1" t="s">
        <v>47</v>
      </c>
      <c r="O393" s="1">
        <v>10</v>
      </c>
      <c r="P393" s="1">
        <v>50</v>
      </c>
      <c r="Q393" s="1" t="str">
        <f>VLOOKUP(AB393,[1]Operational_Profit_Type_ID!$A$2:$B$3,2,FALSE)</f>
        <v>Fix rate</v>
      </c>
      <c r="R393" s="1" t="s">
        <v>55</v>
      </c>
      <c r="S393" s="1">
        <v>10</v>
      </c>
      <c r="T393" s="1" t="str">
        <f>VLOOKUP(AD393,[1]UpdateRightID!$A$2:$B$4,2,FALSE)</f>
        <v>UpdateRightByConfiguration</v>
      </c>
      <c r="U393" s="1" t="s">
        <v>48</v>
      </c>
      <c r="Y393" s="1">
        <v>0</v>
      </c>
      <c r="AB393" s="1">
        <v>1</v>
      </c>
      <c r="AD393" s="1">
        <v>1</v>
      </c>
      <c r="AE393" s="1">
        <v>1</v>
      </c>
    </row>
    <row r="394" spans="1:31" ht="195">
      <c r="B394" s="1" t="s">
        <v>1065</v>
      </c>
      <c r="C394" t="s">
        <v>1066</v>
      </c>
      <c r="D394" s="1" t="s">
        <v>1067</v>
      </c>
      <c r="E394" s="1" t="e">
        <f>VLOOKUP(Z394,[1]LicenseDuration_ID!$A$2:$B$8,2,FALSE)</f>
        <v>#N/A</v>
      </c>
      <c r="F394" s="1" t="e">
        <f>VLOOKUP(AA394,[1]MaintenanceDuration_ID!$A$2:$B$5,2,FALSE)</f>
        <v>#N/A</v>
      </c>
      <c r="G394" s="1" t="e">
        <f>VLOOKUP(V394,[1]ExpectedDeliveryTime_ID!$A$2:$B$12,2,FALSE)</f>
        <v>#N/A</v>
      </c>
      <c r="H394" s="1" t="e">
        <f>VLOOKUP(AC394,[1]PaymentModel_ID!$A$2:$B$7,2,FALSE)</f>
        <v>#N/A</v>
      </c>
      <c r="I394" s="1" t="e">
        <f>VLOOKUP(W394,[1]ExpectedInvoiceDate_ID!$A$2:$B$12,2,FALSE)</f>
        <v>#N/A</v>
      </c>
      <c r="J394" s="1" t="e">
        <f>VLOOKUP(X394,[1]GrantOfRights_ID!$A$2:$B$7,2,FALSE)</f>
        <v>#N/A</v>
      </c>
      <c r="K394" s="1" t="str">
        <f>VLOOKUP(AE394,[1]Profile!$A$2:$B$8,2,FALSE)</f>
        <v>License</v>
      </c>
      <c r="M394" s="1" t="str">
        <f>VLOOKUP(Y394,[1]License_Method_ID!$A$2:$B$13,2,FALSE)</f>
        <v>no technical license protection</v>
      </c>
      <c r="N394" s="1" t="s">
        <v>47</v>
      </c>
      <c r="O394" s="1">
        <v>10</v>
      </c>
      <c r="P394" s="1">
        <v>50</v>
      </c>
      <c r="Q394" s="1" t="str">
        <f>VLOOKUP(AB394,[1]Operational_Profit_Type_ID!$A$2:$B$3,2,FALSE)</f>
        <v>Fix rate</v>
      </c>
      <c r="R394" s="1" t="s">
        <v>55</v>
      </c>
      <c r="T394" s="1" t="str">
        <f>VLOOKUP(AD394,[1]UpdateRightID!$A$2:$B$4,2,FALSE)</f>
        <v>UpdateRightByConfiguration</v>
      </c>
      <c r="U394" s="1" t="s">
        <v>48</v>
      </c>
      <c r="Y394" s="1">
        <v>0</v>
      </c>
      <c r="AB394" s="1">
        <v>1</v>
      </c>
      <c r="AD394" s="1">
        <v>1</v>
      </c>
      <c r="AE394" s="1">
        <v>1</v>
      </c>
    </row>
    <row r="395" spans="1:31" ht="45">
      <c r="B395" s="1" t="s">
        <v>1068</v>
      </c>
      <c r="C395" t="s">
        <v>1069</v>
      </c>
      <c r="D395" s="1" t="s">
        <v>1070</v>
      </c>
      <c r="E395" s="1" t="e">
        <f>VLOOKUP(Z395,[1]LicenseDuration_ID!$A$2:$B$8,2,FALSE)</f>
        <v>#N/A</v>
      </c>
      <c r="F395" s="1" t="e">
        <f>VLOOKUP(AA395,[1]MaintenanceDuration_ID!$A$2:$B$5,2,FALSE)</f>
        <v>#N/A</v>
      </c>
      <c r="G395" s="1" t="e">
        <f>VLOOKUP(V395,[1]ExpectedDeliveryTime_ID!$A$2:$B$12,2,FALSE)</f>
        <v>#N/A</v>
      </c>
      <c r="H395" s="1" t="e">
        <f>VLOOKUP(AC395,[1]PaymentModel_ID!$A$2:$B$7,2,FALSE)</f>
        <v>#N/A</v>
      </c>
      <c r="I395" s="1" t="e">
        <f>VLOOKUP(W395,[1]ExpectedInvoiceDate_ID!$A$2:$B$12,2,FALSE)</f>
        <v>#N/A</v>
      </c>
      <c r="J395" s="1" t="e">
        <f>VLOOKUP(X395,[1]GrantOfRights_ID!$A$2:$B$7,2,FALSE)</f>
        <v>#N/A</v>
      </c>
      <c r="K395" s="1" t="str">
        <f>VLOOKUP(AE395,[1]Profile!$A$2:$B$8,2,FALSE)</f>
        <v>License</v>
      </c>
      <c r="M395" s="1" t="str">
        <f>VLOOKUP(Y395,[1]License_Method_ID!$A$2:$B$13,2,FALSE)</f>
        <v>ADTF Node-Locked License File</v>
      </c>
      <c r="N395" s="1" t="s">
        <v>47</v>
      </c>
      <c r="O395" s="1">
        <v>10</v>
      </c>
      <c r="Q395" s="1" t="str">
        <f>VLOOKUP(AB395,[1]Operational_Profit_Type_ID!$A$2:$B$3,2,FALSE)</f>
        <v>Calculated</v>
      </c>
      <c r="R395" s="1" t="s">
        <v>55</v>
      </c>
      <c r="T395" s="1" t="str">
        <f>VLOOKUP(AD395,[1]UpdateRightID!$A$2:$B$4,2,FALSE)</f>
        <v>none</v>
      </c>
      <c r="U395" s="1" t="s">
        <v>48</v>
      </c>
      <c r="Y395" s="1">
        <v>7</v>
      </c>
      <c r="AB395" s="1">
        <v>2</v>
      </c>
      <c r="AD395" s="1">
        <v>0</v>
      </c>
      <c r="AE395" s="1">
        <v>1</v>
      </c>
    </row>
    <row r="396" spans="1:31" ht="45">
      <c r="B396" s="1" t="s">
        <v>1071</v>
      </c>
      <c r="C396" t="s">
        <v>1072</v>
      </c>
      <c r="D396" s="1" t="s">
        <v>1070</v>
      </c>
      <c r="E396" s="1" t="e">
        <f>VLOOKUP(Z396,[1]LicenseDuration_ID!$A$2:$B$8,2,FALSE)</f>
        <v>#N/A</v>
      </c>
      <c r="F396" s="1" t="e">
        <f>VLOOKUP(AA396,[1]MaintenanceDuration_ID!$A$2:$B$5,2,FALSE)</f>
        <v>#N/A</v>
      </c>
      <c r="G396" s="1" t="e">
        <f>VLOOKUP(V396,[1]ExpectedDeliveryTime_ID!$A$2:$B$12,2,FALSE)</f>
        <v>#N/A</v>
      </c>
      <c r="H396" s="1" t="e">
        <f>VLOOKUP(AC396,[1]PaymentModel_ID!$A$2:$B$7,2,FALSE)</f>
        <v>#N/A</v>
      </c>
      <c r="I396" s="1" t="e">
        <f>VLOOKUP(W396,[1]ExpectedInvoiceDate_ID!$A$2:$B$12,2,FALSE)</f>
        <v>#N/A</v>
      </c>
      <c r="J396" s="1" t="e">
        <f>VLOOKUP(X396,[1]GrantOfRights_ID!$A$2:$B$7,2,FALSE)</f>
        <v>#N/A</v>
      </c>
      <c r="K396" s="1" t="str">
        <f>VLOOKUP(AE396,[1]Profile!$A$2:$B$8,2,FALSE)</f>
        <v>License</v>
      </c>
      <c r="M396" s="1" t="str">
        <f>VLOOKUP(Y396,[1]License_Method_ID!$A$2:$B$13,2,FALSE)</f>
        <v>ADTF Node-Locked License File</v>
      </c>
      <c r="N396" s="1" t="s">
        <v>47</v>
      </c>
      <c r="O396" s="1">
        <v>10</v>
      </c>
      <c r="Q396" s="1" t="str">
        <f>VLOOKUP(AB396,[1]Operational_Profit_Type_ID!$A$2:$B$3,2,FALSE)</f>
        <v>Calculated</v>
      </c>
      <c r="R396" s="1" t="s">
        <v>55</v>
      </c>
      <c r="T396" s="1" t="str">
        <f>VLOOKUP(AD396,[1]UpdateRightID!$A$2:$B$4,2,FALSE)</f>
        <v>none</v>
      </c>
      <c r="U396" s="1" t="s">
        <v>48</v>
      </c>
      <c r="Y396" s="1">
        <v>7</v>
      </c>
      <c r="AB396" s="1">
        <v>2</v>
      </c>
      <c r="AD396" s="1">
        <v>0</v>
      </c>
      <c r="AE396" s="1">
        <v>1</v>
      </c>
    </row>
    <row r="397" spans="1:31" ht="45">
      <c r="B397" s="1" t="s">
        <v>1073</v>
      </c>
      <c r="C397" t="s">
        <v>1074</v>
      </c>
      <c r="D397" s="1" t="s">
        <v>1070</v>
      </c>
      <c r="E397" s="1" t="e">
        <f>VLOOKUP(Z397,[1]LicenseDuration_ID!$A$2:$B$8,2,FALSE)</f>
        <v>#N/A</v>
      </c>
      <c r="F397" s="1" t="e">
        <f>VLOOKUP(AA397,[1]MaintenanceDuration_ID!$A$2:$B$5,2,FALSE)</f>
        <v>#N/A</v>
      </c>
      <c r="G397" s="1" t="e">
        <f>VLOOKUP(V397,[1]ExpectedDeliveryTime_ID!$A$2:$B$12,2,FALSE)</f>
        <v>#N/A</v>
      </c>
      <c r="H397" s="1" t="e">
        <f>VLOOKUP(AC397,[1]PaymentModel_ID!$A$2:$B$7,2,FALSE)</f>
        <v>#N/A</v>
      </c>
      <c r="I397" s="1" t="e">
        <f>VLOOKUP(W397,[1]ExpectedInvoiceDate_ID!$A$2:$B$12,2,FALSE)</f>
        <v>#N/A</v>
      </c>
      <c r="J397" s="1" t="e">
        <f>VLOOKUP(X397,[1]GrantOfRights_ID!$A$2:$B$7,2,FALSE)</f>
        <v>#N/A</v>
      </c>
      <c r="K397" s="1" t="str">
        <f>VLOOKUP(AE397,[1]Profile!$A$2:$B$8,2,FALSE)</f>
        <v>License</v>
      </c>
      <c r="M397" s="1" t="str">
        <f>VLOOKUP(Y397,[1]License_Method_ID!$A$2:$B$13,2,FALSE)</f>
        <v>ADTF Node-Locked License File</v>
      </c>
      <c r="N397" s="1" t="s">
        <v>47</v>
      </c>
      <c r="O397" s="1">
        <v>10</v>
      </c>
      <c r="Q397" s="1" t="str">
        <f>VLOOKUP(AB397,[1]Operational_Profit_Type_ID!$A$2:$B$3,2,FALSE)</f>
        <v>Calculated</v>
      </c>
      <c r="R397" s="1" t="s">
        <v>55</v>
      </c>
      <c r="T397" s="1" t="str">
        <f>VLOOKUP(AD397,[1]UpdateRightID!$A$2:$B$4,2,FALSE)</f>
        <v>none</v>
      </c>
      <c r="U397" s="1" t="s">
        <v>48</v>
      </c>
      <c r="Y397" s="1">
        <v>7</v>
      </c>
      <c r="AB397" s="1">
        <v>2</v>
      </c>
      <c r="AD397" s="1">
        <v>0</v>
      </c>
      <c r="AE397" s="1">
        <v>1</v>
      </c>
    </row>
    <row r="398" spans="1:31" ht="75">
      <c r="B398" s="1" t="s">
        <v>1075</v>
      </c>
      <c r="C398" t="s">
        <v>1076</v>
      </c>
      <c r="E398" s="1" t="str">
        <f>VLOOKUP(Z398,[1]LicenseDuration_ID!$A$2:$B$8,2,FALSE)</f>
        <v>3 months</v>
      </c>
      <c r="F398" s="1" t="str">
        <f>VLOOKUP(AA398,[1]MaintenanceDuration_ID!$A$2:$B$5,2,FALSE)</f>
        <v>n/a</v>
      </c>
      <c r="G398" s="1" t="e">
        <f>VLOOKUP(V398,[1]ExpectedDeliveryTime_ID!$A$2:$B$12,2,FALSE)</f>
        <v>#N/A</v>
      </c>
      <c r="H398" s="1" t="e">
        <f>VLOOKUP(AC398,[1]PaymentModel_ID!$A$2:$B$7,2,FALSE)</f>
        <v>#N/A</v>
      </c>
      <c r="I398" s="1" t="e">
        <f>VLOOKUP(W398,[1]ExpectedInvoiceDate_ID!$A$2:$B$12,2,FALSE)</f>
        <v>#N/A</v>
      </c>
      <c r="J398" s="1" t="str">
        <f>VLOOKUP(X398,[1]GrantOfRights_ID!$A$2:$B$7,2,FALSE)</f>
        <v>n/a</v>
      </c>
      <c r="K398" s="1" t="str">
        <f>VLOOKUP(AE398,[1]Profile!$A$2:$B$8,2,FALSE)</f>
        <v>Product related service without profile</v>
      </c>
      <c r="M398" s="1" t="str">
        <f>VLOOKUP(Y398,[1]License_Method_ID!$A$2:$B$13,2,FALSE)</f>
        <v>no technical license protection</v>
      </c>
      <c r="N398" s="1" t="s">
        <v>47</v>
      </c>
      <c r="O398" s="1">
        <v>10</v>
      </c>
      <c r="Q398" s="1" t="str">
        <f>VLOOKUP(AB398,[1]Operational_Profit_Type_ID!$A$2:$B$3,2,FALSE)</f>
        <v>Calculated</v>
      </c>
      <c r="R398" s="1" t="s">
        <v>55</v>
      </c>
      <c r="T398" s="1" t="str">
        <f>VLOOKUP(AD398,[1]UpdateRightID!$A$2:$B$4,2,FALSE)</f>
        <v>none</v>
      </c>
      <c r="U398" s="1" t="s">
        <v>48</v>
      </c>
      <c r="X398" s="1">
        <v>1</v>
      </c>
      <c r="Y398" s="1">
        <v>0</v>
      </c>
      <c r="Z398" s="1">
        <v>2</v>
      </c>
      <c r="AA398" s="1">
        <v>1</v>
      </c>
      <c r="AB398" s="1">
        <v>2</v>
      </c>
      <c r="AD398" s="1">
        <v>0</v>
      </c>
      <c r="AE398" s="1">
        <v>0</v>
      </c>
    </row>
    <row r="399" spans="1:31" ht="30">
      <c r="B399" s="1" t="s">
        <v>1077</v>
      </c>
      <c r="C399" t="s">
        <v>1078</v>
      </c>
      <c r="D399" s="1" t="s">
        <v>1079</v>
      </c>
      <c r="E399" s="1" t="str">
        <f>VLOOKUP(Z399,[1]LicenseDuration_ID!$A$2:$B$8,2,FALSE)</f>
        <v>perpetual</v>
      </c>
      <c r="F399" s="1" t="str">
        <f>VLOOKUP(AA399,[1]MaintenanceDuration_ID!$A$2:$B$5,2,FALSE)</f>
        <v>12 months</v>
      </c>
      <c r="G399" s="1" t="e">
        <f>VLOOKUP(V399,[1]ExpectedDeliveryTime_ID!$A$2:$B$12,2,FALSE)</f>
        <v>#N/A</v>
      </c>
      <c r="H399" s="1" t="e">
        <f>VLOOKUP(AC399,[1]PaymentModel_ID!$A$2:$B$7,2,FALSE)</f>
        <v>#N/A</v>
      </c>
      <c r="I399" s="1" t="e">
        <f>VLOOKUP(W399,[1]ExpectedInvoiceDate_ID!$A$2:$B$12,2,FALSE)</f>
        <v>#N/A</v>
      </c>
      <c r="J399" s="1" t="e">
        <f>VLOOKUP(X399,[1]GrantOfRights_ID!$A$2:$B$7,2,FALSE)</f>
        <v>#N/A</v>
      </c>
      <c r="K399" s="1" t="str">
        <f>VLOOKUP(AE399,[1]Profile!$A$2:$B$8,2,FALSE)</f>
        <v>License</v>
      </c>
      <c r="M399" s="1" t="str">
        <f>VLOOKUP(Y399,[1]License_Method_ID!$A$2:$B$13,2,FALSE)</f>
        <v>no technical license protection</v>
      </c>
      <c r="N399" s="1" t="s">
        <v>47</v>
      </c>
      <c r="O399" s="1">
        <v>10</v>
      </c>
      <c r="P399" s="1">
        <v>50</v>
      </c>
      <c r="Q399" s="1" t="str">
        <f>VLOOKUP(AB399,[1]Operational_Profit_Type_ID!$A$2:$B$3,2,FALSE)</f>
        <v>Fix rate</v>
      </c>
      <c r="R399" s="1" t="s">
        <v>48</v>
      </c>
      <c r="T399" s="1" t="str">
        <f>VLOOKUP(AD399,[1]UpdateRightID!$A$2:$B$4,2,FALSE)</f>
        <v>UpdateRightByConfiguration</v>
      </c>
      <c r="U399" s="1" t="s">
        <v>48</v>
      </c>
      <c r="Y399" s="1">
        <v>0</v>
      </c>
      <c r="Z399" s="1">
        <v>6</v>
      </c>
      <c r="AA399" s="1">
        <v>3</v>
      </c>
      <c r="AB399" s="1">
        <v>1</v>
      </c>
      <c r="AD399" s="1">
        <v>1</v>
      </c>
      <c r="AE399" s="1">
        <v>1</v>
      </c>
    </row>
    <row r="400" spans="1:31" ht="30">
      <c r="B400" s="1" t="s">
        <v>1080</v>
      </c>
      <c r="C400" t="s">
        <v>1081</v>
      </c>
      <c r="E400" s="1" t="str">
        <f>VLOOKUP(Z400,[1]LicenseDuration_ID!$A$2:$B$8,2,FALSE)</f>
        <v>3 months</v>
      </c>
      <c r="F400" s="1" t="str">
        <f>VLOOKUP(AA400,[1]MaintenanceDuration_ID!$A$2:$B$5,2,FALSE)</f>
        <v>12 months</v>
      </c>
      <c r="G400" s="1" t="e">
        <f>VLOOKUP(V400,[1]ExpectedDeliveryTime_ID!$A$2:$B$12,2,FALSE)</f>
        <v>#N/A</v>
      </c>
      <c r="H400" s="1" t="e">
        <f>VLOOKUP(AC400,[1]PaymentModel_ID!$A$2:$B$7,2,FALSE)</f>
        <v>#N/A</v>
      </c>
      <c r="I400" s="1" t="e">
        <f>VLOOKUP(W400,[1]ExpectedInvoiceDate_ID!$A$2:$B$12,2,FALSE)</f>
        <v>#N/A</v>
      </c>
      <c r="J400" s="1" t="e">
        <f>VLOOKUP(X400,[1]GrantOfRights_ID!$A$2:$B$7,2,FALSE)</f>
        <v>#N/A</v>
      </c>
      <c r="K400" s="1" t="str">
        <f>VLOOKUP(AE400,[1]Profile!$A$2:$B$8,2,FALSE)</f>
        <v>License</v>
      </c>
      <c r="M400" s="1" t="str">
        <f>VLOOKUP(Y400,[1]License_Method_ID!$A$2:$B$13,2,FALSE)</f>
        <v>no technical license protection</v>
      </c>
      <c r="N400" s="1" t="s">
        <v>47</v>
      </c>
      <c r="O400" s="1">
        <v>10</v>
      </c>
      <c r="P400" s="1">
        <v>50</v>
      </c>
      <c r="Q400" s="1" t="str">
        <f>VLOOKUP(AB400,[1]Operational_Profit_Type_ID!$A$2:$B$3,2,FALSE)</f>
        <v>Fix rate</v>
      </c>
      <c r="R400" s="1" t="s">
        <v>48</v>
      </c>
      <c r="T400" s="1" t="str">
        <f>VLOOKUP(AD400,[1]UpdateRightID!$A$2:$B$4,2,FALSE)</f>
        <v>UpdateRightByConfiguration</v>
      </c>
      <c r="U400" s="1" t="s">
        <v>48</v>
      </c>
      <c r="Y400" s="1">
        <v>0</v>
      </c>
      <c r="Z400" s="1">
        <v>2</v>
      </c>
      <c r="AA400" s="1">
        <v>3</v>
      </c>
      <c r="AB400" s="1">
        <v>1</v>
      </c>
      <c r="AD400" s="1">
        <v>1</v>
      </c>
      <c r="AE400" s="1">
        <v>1</v>
      </c>
    </row>
    <row r="401" spans="1:31" ht="30">
      <c r="B401" s="1" t="s">
        <v>1082</v>
      </c>
      <c r="C401" t="s">
        <v>1083</v>
      </c>
      <c r="D401" s="1" t="s">
        <v>1084</v>
      </c>
      <c r="E401" s="1" t="str">
        <f>VLOOKUP(Z401,[1]LicenseDuration_ID!$A$2:$B$8,2,FALSE)</f>
        <v>perpetual</v>
      </c>
      <c r="F401" s="1" t="str">
        <f>VLOOKUP(AA401,[1]MaintenanceDuration_ID!$A$2:$B$5,2,FALSE)</f>
        <v>n/a</v>
      </c>
      <c r="G401" s="1" t="e">
        <f>VLOOKUP(V401,[1]ExpectedDeliveryTime_ID!$A$2:$B$12,2,FALSE)</f>
        <v>#N/A</v>
      </c>
      <c r="H401" s="1" t="e">
        <f>VLOOKUP(AC401,[1]PaymentModel_ID!$A$2:$B$7,2,FALSE)</f>
        <v>#N/A</v>
      </c>
      <c r="I401" s="1" t="e">
        <f>VLOOKUP(W401,[1]ExpectedInvoiceDate_ID!$A$2:$B$12,2,FALSE)</f>
        <v>#N/A</v>
      </c>
      <c r="J401" s="1" t="e">
        <f>VLOOKUP(X401,[1]GrantOfRights_ID!$A$2:$B$7,2,FALSE)</f>
        <v>#N/A</v>
      </c>
      <c r="K401" s="1" t="str">
        <f>VLOOKUP(AE401,[1]Profile!$A$2:$B$8,2,FALSE)</f>
        <v>License</v>
      </c>
      <c r="M401" s="1" t="str">
        <f>VLOOKUP(Y401,[1]License_Method_ID!$A$2:$B$13,2,FALSE)</f>
        <v>no technical license protection</v>
      </c>
      <c r="N401" s="1" t="s">
        <v>47</v>
      </c>
      <c r="O401" s="1">
        <v>10</v>
      </c>
      <c r="P401" s="1">
        <v>50</v>
      </c>
      <c r="Q401" s="1" t="str">
        <f>VLOOKUP(AB401,[1]Operational_Profit_Type_ID!$A$2:$B$3,2,FALSE)</f>
        <v>Fix rate</v>
      </c>
      <c r="R401" s="1" t="s">
        <v>48</v>
      </c>
      <c r="T401" s="1" t="str">
        <f>VLOOKUP(AD401,[1]UpdateRightID!$A$2:$B$4,2,FALSE)</f>
        <v>none</v>
      </c>
      <c r="U401" s="1" t="s">
        <v>48</v>
      </c>
      <c r="Y401" s="1">
        <v>0</v>
      </c>
      <c r="Z401" s="1">
        <v>6</v>
      </c>
      <c r="AA401" s="1">
        <v>1</v>
      </c>
      <c r="AB401" s="1">
        <v>1</v>
      </c>
      <c r="AD401" s="1">
        <v>0</v>
      </c>
      <c r="AE401" s="1">
        <v>1</v>
      </c>
    </row>
    <row r="402" spans="1:31">
      <c r="B402" s="1" t="s">
        <v>1085</v>
      </c>
      <c r="C402" t="s">
        <v>1086</v>
      </c>
      <c r="E402" s="1" t="str">
        <f>VLOOKUP(Z402,[1]LicenseDuration_ID!$A$2:$B$8,2,FALSE)</f>
        <v>perpetual</v>
      </c>
      <c r="F402" s="1" t="str">
        <f>VLOOKUP(AA402,[1]MaintenanceDuration_ID!$A$2:$B$5,2,FALSE)</f>
        <v>n/a</v>
      </c>
      <c r="G402" s="1" t="e">
        <f>VLOOKUP(V402,[1]ExpectedDeliveryTime_ID!$A$2:$B$12,2,FALSE)</f>
        <v>#N/A</v>
      </c>
      <c r="H402" s="1" t="e">
        <f>VLOOKUP(AC402,[1]PaymentModel_ID!$A$2:$B$7,2,FALSE)</f>
        <v>#N/A</v>
      </c>
      <c r="I402" s="1" t="e">
        <f>VLOOKUP(W402,[1]ExpectedInvoiceDate_ID!$A$2:$B$12,2,FALSE)</f>
        <v>#N/A</v>
      </c>
      <c r="J402" s="1" t="e">
        <f>VLOOKUP(X402,[1]GrantOfRights_ID!$A$2:$B$7,2,FALSE)</f>
        <v>#N/A</v>
      </c>
      <c r="K402" s="1" t="str">
        <f>VLOOKUP(AE402,[1]Profile!$A$2:$B$8,2,FALSE)</f>
        <v>License</v>
      </c>
      <c r="M402" s="1" t="str">
        <f>VLOOKUP(Y402,[1]License_Method_ID!$A$2:$B$13,2,FALSE)</f>
        <v>no technical license protection</v>
      </c>
      <c r="N402" s="1" t="s">
        <v>47</v>
      </c>
      <c r="O402" s="1">
        <v>10</v>
      </c>
      <c r="P402" s="1">
        <v>50</v>
      </c>
      <c r="Q402" s="1" t="str">
        <f>VLOOKUP(AB402,[1]Operational_Profit_Type_ID!$A$2:$B$3,2,FALSE)</f>
        <v>Fix rate</v>
      </c>
      <c r="R402" s="1" t="s">
        <v>55</v>
      </c>
      <c r="T402" s="1" t="str">
        <f>VLOOKUP(AD402,[1]UpdateRightID!$A$2:$B$4,2,FALSE)</f>
        <v>none</v>
      </c>
      <c r="U402" s="1" t="s">
        <v>48</v>
      </c>
      <c r="Y402" s="1">
        <v>0</v>
      </c>
      <c r="Z402" s="1">
        <v>6</v>
      </c>
      <c r="AA402" s="1">
        <v>1</v>
      </c>
      <c r="AB402" s="1">
        <v>1</v>
      </c>
      <c r="AD402" s="1">
        <v>0</v>
      </c>
      <c r="AE402" s="1">
        <v>1</v>
      </c>
    </row>
    <row r="403" spans="1:31" ht="75">
      <c r="A403" s="1" t="s">
        <v>43</v>
      </c>
      <c r="B403" s="1" t="s">
        <v>1087</v>
      </c>
      <c r="C403" t="s">
        <v>1088</v>
      </c>
      <c r="D403" s="1" t="s">
        <v>278</v>
      </c>
      <c r="E403" s="1" t="str">
        <f>VLOOKUP(Z403,[1]LicenseDuration_ID!$A$2:$B$8,2,FALSE)</f>
        <v>3 months</v>
      </c>
      <c r="F403" s="1" t="str">
        <f>VLOOKUP(AA403,[1]MaintenanceDuration_ID!$A$2:$B$5,2,FALSE)</f>
        <v>n/a</v>
      </c>
      <c r="G403" s="1" t="str">
        <f>VLOOKUP(V403,[1]ExpectedDeliveryTime_ID!$A$2:$B$12,2,FALSE)</f>
        <v>n/a</v>
      </c>
      <c r="H403" s="1" t="str">
        <f>VLOOKUP(AC403,[1]PaymentModel_ID!$A$2:$B$7,2,FALSE)</f>
        <v>One-time payment</v>
      </c>
      <c r="I403" s="1" t="str">
        <f>VLOOKUP(W403,[1]ExpectedInvoiceDate_ID!$A$2:$B$12,2,FALSE)</f>
        <v>With FINAL DELIVERY</v>
      </c>
      <c r="J403" s="1" t="str">
        <f>VLOOKUP(X403,[1]GrantOfRights_ID!$A$2:$B$7,2,FALSE)</f>
        <v>n/a</v>
      </c>
      <c r="K403" s="1" t="str">
        <f>VLOOKUP(AE403,[1]Profile!$A$2:$B$8,2,FALSE)</f>
        <v>Product related service without profile</v>
      </c>
      <c r="M403" s="1" t="str">
        <f>VLOOKUP(Y403,[1]License_Method_ID!$A$2:$B$13,2,FALSE)</f>
        <v>no technical license protection</v>
      </c>
      <c r="N403" s="1" t="s">
        <v>47</v>
      </c>
      <c r="O403" s="1">
        <v>10</v>
      </c>
      <c r="Q403" s="1" t="str">
        <f>VLOOKUP(AB403,[1]Operational_Profit_Type_ID!$A$2:$B$3,2,FALSE)</f>
        <v>Calculated</v>
      </c>
      <c r="R403" s="1" t="s">
        <v>55</v>
      </c>
      <c r="S403" s="1">
        <v>10</v>
      </c>
      <c r="T403" s="1" t="str">
        <f>VLOOKUP(AD403,[1]UpdateRightID!$A$2:$B$4,2,FALSE)</f>
        <v>none</v>
      </c>
      <c r="U403" s="1" t="s">
        <v>48</v>
      </c>
      <c r="V403" s="1">
        <v>1</v>
      </c>
      <c r="W403" s="1">
        <v>7</v>
      </c>
      <c r="X403" s="1">
        <v>1</v>
      </c>
      <c r="Y403" s="1">
        <v>0</v>
      </c>
      <c r="Z403" s="1">
        <v>2</v>
      </c>
      <c r="AA403" s="1">
        <v>1</v>
      </c>
      <c r="AB403" s="1">
        <v>2</v>
      </c>
      <c r="AC403" s="1">
        <v>2</v>
      </c>
      <c r="AD403" s="1">
        <v>0</v>
      </c>
      <c r="AE403" s="1">
        <v>0</v>
      </c>
    </row>
    <row r="404" spans="1:31" ht="165">
      <c r="B404" s="1" t="s">
        <v>1089</v>
      </c>
      <c r="C404" t="s">
        <v>1090</v>
      </c>
      <c r="D404" s="1" t="s">
        <v>1091</v>
      </c>
      <c r="E404" s="1" t="e">
        <f>VLOOKUP(Z404,[1]LicenseDuration_ID!$A$2:$B$8,2,FALSE)</f>
        <v>#N/A</v>
      </c>
      <c r="F404" s="1" t="e">
        <f>VLOOKUP(AA404,[1]MaintenanceDuration_ID!$A$2:$B$5,2,FALSE)</f>
        <v>#N/A</v>
      </c>
      <c r="G404" s="1" t="e">
        <f>VLOOKUP(V404,[1]ExpectedDeliveryTime_ID!$A$2:$B$12,2,FALSE)</f>
        <v>#N/A</v>
      </c>
      <c r="H404" s="1" t="e">
        <f>VLOOKUP(AC404,[1]PaymentModel_ID!$A$2:$B$7,2,FALSE)</f>
        <v>#N/A</v>
      </c>
      <c r="I404" s="1" t="e">
        <f>VLOOKUP(W404,[1]ExpectedInvoiceDate_ID!$A$2:$B$12,2,FALSE)</f>
        <v>#N/A</v>
      </c>
      <c r="J404" s="1" t="e">
        <f>VLOOKUP(X404,[1]GrantOfRights_ID!$A$2:$B$7,2,FALSE)</f>
        <v>#N/A</v>
      </c>
      <c r="K404" s="1" t="str">
        <f>VLOOKUP(AE404,[1]Profile!$A$2:$B$8,2,FALSE)</f>
        <v>License</v>
      </c>
      <c r="M404" s="1" t="str">
        <f>VLOOKUP(Y404,[1]License_Method_ID!$A$2:$B$13,2,FALSE)</f>
        <v>no technical license protection</v>
      </c>
      <c r="N404" s="1" t="s">
        <v>47</v>
      </c>
      <c r="O404" s="1">
        <v>10</v>
      </c>
      <c r="P404" s="1">
        <v>50</v>
      </c>
      <c r="Q404" s="1" t="str">
        <f>VLOOKUP(AB404,[1]Operational_Profit_Type_ID!$A$2:$B$3,2,FALSE)</f>
        <v>Fix rate</v>
      </c>
      <c r="R404" s="1" t="s">
        <v>48</v>
      </c>
      <c r="T404" s="1" t="str">
        <f>VLOOKUP(AD404,[1]UpdateRightID!$A$2:$B$4,2,FALSE)</f>
        <v>TotalAmountAsUpdateRight</v>
      </c>
      <c r="U404" s="1" t="s">
        <v>48</v>
      </c>
      <c r="Y404" s="1">
        <v>0</v>
      </c>
      <c r="AB404" s="1">
        <v>1</v>
      </c>
      <c r="AD404" s="1">
        <v>2</v>
      </c>
      <c r="AE404" s="1">
        <v>1</v>
      </c>
    </row>
    <row r="405" spans="1:31" ht="90">
      <c r="B405" s="1" t="s">
        <v>1092</v>
      </c>
      <c r="C405" t="s">
        <v>1093</v>
      </c>
      <c r="D405" s="1" t="s">
        <v>463</v>
      </c>
      <c r="E405" s="1" t="e">
        <f>VLOOKUP(Z405,[1]LicenseDuration_ID!$A$2:$B$8,2,FALSE)</f>
        <v>#N/A</v>
      </c>
      <c r="F405" s="1" t="e">
        <f>VLOOKUP(AA405,[1]MaintenanceDuration_ID!$A$2:$B$5,2,FALSE)</f>
        <v>#N/A</v>
      </c>
      <c r="G405" s="1" t="e">
        <f>VLOOKUP(V405,[1]ExpectedDeliveryTime_ID!$A$2:$B$12,2,FALSE)</f>
        <v>#N/A</v>
      </c>
      <c r="H405" s="1" t="e">
        <f>VLOOKUP(AC405,[1]PaymentModel_ID!$A$2:$B$7,2,FALSE)</f>
        <v>#N/A</v>
      </c>
      <c r="I405" s="1" t="e">
        <f>VLOOKUP(W405,[1]ExpectedInvoiceDate_ID!$A$2:$B$12,2,FALSE)</f>
        <v>#N/A</v>
      </c>
      <c r="J405" s="1" t="e">
        <f>VLOOKUP(X405,[1]GrantOfRights_ID!$A$2:$B$7,2,FALSE)</f>
        <v>#N/A</v>
      </c>
      <c r="K405" s="1" t="str">
        <f>VLOOKUP(AE405,[1]Profile!$A$2:$B$8,2,FALSE)</f>
        <v>License</v>
      </c>
      <c r="M405" s="1" t="str">
        <f>VLOOKUP(Y405,[1]License_Method_ID!$A$2:$B$13,2,FALSE)</f>
        <v>no technical license protection</v>
      </c>
      <c r="N405" s="1" t="s">
        <v>47</v>
      </c>
      <c r="O405" s="1">
        <v>10</v>
      </c>
      <c r="P405" s="1">
        <v>50</v>
      </c>
      <c r="Q405" s="1" t="str">
        <f>VLOOKUP(AB405,[1]Operational_Profit_Type_ID!$A$2:$B$3,2,FALSE)</f>
        <v>Fix rate</v>
      </c>
      <c r="R405" s="1" t="s">
        <v>48</v>
      </c>
      <c r="S405" s="1">
        <v>3</v>
      </c>
      <c r="T405" s="1" t="str">
        <f>VLOOKUP(AD405,[1]UpdateRightID!$A$2:$B$4,2,FALSE)</f>
        <v>UpdateRightByConfiguration</v>
      </c>
      <c r="U405" s="1" t="s">
        <v>48</v>
      </c>
      <c r="Y405" s="1">
        <v>0</v>
      </c>
      <c r="AB405" s="1">
        <v>1</v>
      </c>
      <c r="AD405" s="1">
        <v>1</v>
      </c>
      <c r="AE405" s="1">
        <v>1</v>
      </c>
    </row>
    <row r="406" spans="1:31" ht="90">
      <c r="B406" s="1" t="s">
        <v>1094</v>
      </c>
      <c r="C406" t="s">
        <v>1095</v>
      </c>
      <c r="D406" s="1" t="s">
        <v>472</v>
      </c>
      <c r="E406" s="1" t="e">
        <f>VLOOKUP(Z406,[1]LicenseDuration_ID!$A$2:$B$8,2,FALSE)</f>
        <v>#N/A</v>
      </c>
      <c r="F406" s="1" t="e">
        <f>VLOOKUP(AA406,[1]MaintenanceDuration_ID!$A$2:$B$5,2,FALSE)</f>
        <v>#N/A</v>
      </c>
      <c r="G406" s="1" t="e">
        <f>VLOOKUP(V406,[1]ExpectedDeliveryTime_ID!$A$2:$B$12,2,FALSE)</f>
        <v>#N/A</v>
      </c>
      <c r="H406" s="1" t="e">
        <f>VLOOKUP(AC406,[1]PaymentModel_ID!$A$2:$B$7,2,FALSE)</f>
        <v>#N/A</v>
      </c>
      <c r="I406" s="1" t="e">
        <f>VLOOKUP(W406,[1]ExpectedInvoiceDate_ID!$A$2:$B$12,2,FALSE)</f>
        <v>#N/A</v>
      </c>
      <c r="J406" s="1" t="e">
        <f>VLOOKUP(X406,[1]GrantOfRights_ID!$A$2:$B$7,2,FALSE)</f>
        <v>#N/A</v>
      </c>
      <c r="K406" s="1" t="str">
        <f>VLOOKUP(AE406,[1]Profile!$A$2:$B$8,2,FALSE)</f>
        <v>License</v>
      </c>
      <c r="M406" s="1" t="str">
        <f>VLOOKUP(Y406,[1]License_Method_ID!$A$2:$B$13,2,FALSE)</f>
        <v>no technical license protection</v>
      </c>
      <c r="N406" s="1" t="s">
        <v>47</v>
      </c>
      <c r="O406" s="1">
        <v>10</v>
      </c>
      <c r="P406" s="1">
        <v>50</v>
      </c>
      <c r="Q406" s="1" t="str">
        <f>VLOOKUP(AB406,[1]Operational_Profit_Type_ID!$A$2:$B$3,2,FALSE)</f>
        <v>Fix rate</v>
      </c>
      <c r="R406" s="1" t="s">
        <v>48</v>
      </c>
      <c r="T406" s="1" t="str">
        <f>VLOOKUP(AD406,[1]UpdateRightID!$A$2:$B$4,2,FALSE)</f>
        <v>TotalAmountAsUpdateRight</v>
      </c>
      <c r="U406" s="1" t="s">
        <v>48</v>
      </c>
      <c r="Y406" s="1">
        <v>0</v>
      </c>
      <c r="AB406" s="1">
        <v>1</v>
      </c>
      <c r="AD406" s="1">
        <v>2</v>
      </c>
      <c r="AE406" s="1">
        <v>1</v>
      </c>
    </row>
    <row r="407" spans="1:31" ht="120">
      <c r="B407" s="1" t="s">
        <v>1096</v>
      </c>
      <c r="C407" t="s">
        <v>1097</v>
      </c>
      <c r="D407" s="1" t="s">
        <v>1098</v>
      </c>
      <c r="E407" s="1" t="e">
        <f>VLOOKUP(Z407,[1]LicenseDuration_ID!$A$2:$B$8,2,FALSE)</f>
        <v>#N/A</v>
      </c>
      <c r="F407" s="1" t="e">
        <f>VLOOKUP(AA407,[1]MaintenanceDuration_ID!$A$2:$B$5,2,FALSE)</f>
        <v>#N/A</v>
      </c>
      <c r="G407" s="1" t="e">
        <f>VLOOKUP(V407,[1]ExpectedDeliveryTime_ID!$A$2:$B$12,2,FALSE)</f>
        <v>#N/A</v>
      </c>
      <c r="H407" s="1" t="e">
        <f>VLOOKUP(AC407,[1]PaymentModel_ID!$A$2:$B$7,2,FALSE)</f>
        <v>#N/A</v>
      </c>
      <c r="I407" s="1" t="e">
        <f>VLOOKUP(W407,[1]ExpectedInvoiceDate_ID!$A$2:$B$12,2,FALSE)</f>
        <v>#N/A</v>
      </c>
      <c r="J407" s="1" t="e">
        <f>VLOOKUP(X407,[1]GrantOfRights_ID!$A$2:$B$7,2,FALSE)</f>
        <v>#N/A</v>
      </c>
      <c r="K407" s="1" t="str">
        <f>VLOOKUP(AE407,[1]Profile!$A$2:$B$8,2,FALSE)</f>
        <v>License</v>
      </c>
      <c r="M407" s="1" t="str">
        <f>VLOOKUP(Y407,[1]License_Method_ID!$A$2:$B$13,2,FALSE)</f>
        <v>no technical license protection</v>
      </c>
      <c r="N407" s="1" t="s">
        <v>47</v>
      </c>
      <c r="O407" s="1">
        <v>10</v>
      </c>
      <c r="P407" s="1">
        <v>50</v>
      </c>
      <c r="Q407" s="1" t="str">
        <f>VLOOKUP(AB407,[1]Operational_Profit_Type_ID!$A$2:$B$3,2,FALSE)</f>
        <v>Fix rate</v>
      </c>
      <c r="R407" s="1" t="s">
        <v>48</v>
      </c>
      <c r="S407" s="1">
        <v>3</v>
      </c>
      <c r="T407" s="1" t="str">
        <f>VLOOKUP(AD407,[1]UpdateRightID!$A$2:$B$4,2,FALSE)</f>
        <v>UpdateRightByConfiguration</v>
      </c>
      <c r="U407" s="1" t="s">
        <v>48</v>
      </c>
      <c r="Y407" s="1">
        <v>0</v>
      </c>
      <c r="AB407" s="1">
        <v>1</v>
      </c>
      <c r="AD407" s="1">
        <v>1</v>
      </c>
      <c r="AE407" s="1">
        <v>1</v>
      </c>
    </row>
    <row r="408" spans="1:31" ht="90">
      <c r="B408" s="1" t="s">
        <v>1099</v>
      </c>
      <c r="C408" t="s">
        <v>1100</v>
      </c>
      <c r="D408" s="1" t="s">
        <v>1101</v>
      </c>
      <c r="E408" s="1" t="e">
        <f>VLOOKUP(Z408,[1]LicenseDuration_ID!$A$2:$B$8,2,FALSE)</f>
        <v>#N/A</v>
      </c>
      <c r="F408" s="1" t="e">
        <f>VLOOKUP(AA408,[1]MaintenanceDuration_ID!$A$2:$B$5,2,FALSE)</f>
        <v>#N/A</v>
      </c>
      <c r="G408" s="1" t="e">
        <f>VLOOKUP(V408,[1]ExpectedDeliveryTime_ID!$A$2:$B$12,2,FALSE)</f>
        <v>#N/A</v>
      </c>
      <c r="H408" s="1" t="e">
        <f>VLOOKUP(AC408,[1]PaymentModel_ID!$A$2:$B$7,2,FALSE)</f>
        <v>#N/A</v>
      </c>
      <c r="I408" s="1" t="e">
        <f>VLOOKUP(W408,[1]ExpectedInvoiceDate_ID!$A$2:$B$12,2,FALSE)</f>
        <v>#N/A</v>
      </c>
      <c r="J408" s="1" t="e">
        <f>VLOOKUP(X408,[1]GrantOfRights_ID!$A$2:$B$7,2,FALSE)</f>
        <v>#N/A</v>
      </c>
      <c r="K408" s="1" t="str">
        <f>VLOOKUP(AE408,[1]Profile!$A$2:$B$8,2,FALSE)</f>
        <v>License</v>
      </c>
      <c r="M408" s="1" t="str">
        <f>VLOOKUP(Y408,[1]License_Method_ID!$A$2:$B$13,2,FALSE)</f>
        <v>no technical license protection</v>
      </c>
      <c r="N408" s="1" t="s">
        <v>47</v>
      </c>
      <c r="O408" s="1">
        <v>10</v>
      </c>
      <c r="P408" s="1">
        <v>50</v>
      </c>
      <c r="Q408" s="1" t="str">
        <f>VLOOKUP(AB408,[1]Operational_Profit_Type_ID!$A$2:$B$3,2,FALSE)</f>
        <v>Fix rate</v>
      </c>
      <c r="R408" s="1" t="s">
        <v>48</v>
      </c>
      <c r="T408" s="1" t="str">
        <f>VLOOKUP(AD408,[1]UpdateRightID!$A$2:$B$4,2,FALSE)</f>
        <v>TotalAmountAsUpdateRight</v>
      </c>
      <c r="U408" s="1" t="s">
        <v>48</v>
      </c>
      <c r="Y408" s="1">
        <v>0</v>
      </c>
      <c r="AB408" s="1">
        <v>1</v>
      </c>
      <c r="AD408" s="1">
        <v>2</v>
      </c>
      <c r="AE408" s="1">
        <v>1</v>
      </c>
    </row>
    <row r="409" spans="1:31" ht="330">
      <c r="B409" s="1" t="s">
        <v>1102</v>
      </c>
      <c r="C409" t="s">
        <v>1103</v>
      </c>
      <c r="D409" s="1" t="s">
        <v>1104</v>
      </c>
      <c r="E409" s="1" t="e">
        <f>VLOOKUP(Z409,[1]LicenseDuration_ID!$A$2:$B$8,2,FALSE)</f>
        <v>#N/A</v>
      </c>
      <c r="F409" s="1" t="e">
        <f>VLOOKUP(AA409,[1]MaintenanceDuration_ID!$A$2:$B$5,2,FALSE)</f>
        <v>#N/A</v>
      </c>
      <c r="G409" s="1" t="e">
        <f>VLOOKUP(V409,[1]ExpectedDeliveryTime_ID!$A$2:$B$12,2,FALSE)</f>
        <v>#N/A</v>
      </c>
      <c r="H409" s="1" t="e">
        <f>VLOOKUP(AC409,[1]PaymentModel_ID!$A$2:$B$7,2,FALSE)</f>
        <v>#N/A</v>
      </c>
      <c r="I409" s="1" t="e">
        <f>VLOOKUP(W409,[1]ExpectedInvoiceDate_ID!$A$2:$B$12,2,FALSE)</f>
        <v>#N/A</v>
      </c>
      <c r="J409" s="1" t="e">
        <f>VLOOKUP(X409,[1]GrantOfRights_ID!$A$2:$B$7,2,FALSE)</f>
        <v>#N/A</v>
      </c>
      <c r="K409" s="1" t="str">
        <f>VLOOKUP(AE409,[1]Profile!$A$2:$B$8,2,FALSE)</f>
        <v>License</v>
      </c>
      <c r="M409" s="1" t="str">
        <f>VLOOKUP(Y409,[1]License_Method_ID!$A$2:$B$13,2,FALSE)</f>
        <v>no technical license protection</v>
      </c>
      <c r="N409" s="1" t="s">
        <v>47</v>
      </c>
      <c r="O409" s="1">
        <v>10</v>
      </c>
      <c r="P409" s="1">
        <v>50</v>
      </c>
      <c r="Q409" s="1" t="str">
        <f>VLOOKUP(AB409,[1]Operational_Profit_Type_ID!$A$2:$B$3,2,FALSE)</f>
        <v>Fix rate</v>
      </c>
      <c r="R409" s="1" t="s">
        <v>55</v>
      </c>
      <c r="T409" s="1" t="str">
        <f>VLOOKUP(AD409,[1]UpdateRightID!$A$2:$B$4,2,FALSE)</f>
        <v>UpdateRightByConfiguration</v>
      </c>
      <c r="U409" s="1" t="s">
        <v>48</v>
      </c>
      <c r="Y409" s="1">
        <v>0</v>
      </c>
      <c r="AB409" s="1">
        <v>1</v>
      </c>
      <c r="AD409" s="1">
        <v>1</v>
      </c>
      <c r="AE409" s="1">
        <v>1</v>
      </c>
    </row>
    <row r="410" spans="1:31" ht="330">
      <c r="B410" s="1" t="s">
        <v>1105</v>
      </c>
      <c r="C410" t="s">
        <v>1106</v>
      </c>
      <c r="D410" s="1" t="s">
        <v>1107</v>
      </c>
      <c r="E410" s="1" t="e">
        <f>VLOOKUP(Z410,[1]LicenseDuration_ID!$A$2:$B$8,2,FALSE)</f>
        <v>#N/A</v>
      </c>
      <c r="F410" s="1" t="e">
        <f>VLOOKUP(AA410,[1]MaintenanceDuration_ID!$A$2:$B$5,2,FALSE)</f>
        <v>#N/A</v>
      </c>
      <c r="G410" s="1" t="e">
        <f>VLOOKUP(V410,[1]ExpectedDeliveryTime_ID!$A$2:$B$12,2,FALSE)</f>
        <v>#N/A</v>
      </c>
      <c r="H410" s="1" t="e">
        <f>VLOOKUP(AC410,[1]PaymentModel_ID!$A$2:$B$7,2,FALSE)</f>
        <v>#N/A</v>
      </c>
      <c r="I410" s="1" t="e">
        <f>VLOOKUP(W410,[1]ExpectedInvoiceDate_ID!$A$2:$B$12,2,FALSE)</f>
        <v>#N/A</v>
      </c>
      <c r="J410" s="1" t="e">
        <f>VLOOKUP(X410,[1]GrantOfRights_ID!$A$2:$B$7,2,FALSE)</f>
        <v>#N/A</v>
      </c>
      <c r="K410" s="1" t="str">
        <f>VLOOKUP(AE410,[1]Profile!$A$2:$B$8,2,FALSE)</f>
        <v>License</v>
      </c>
      <c r="M410" s="1" t="str">
        <f>VLOOKUP(Y410,[1]License_Method_ID!$A$2:$B$13,2,FALSE)</f>
        <v>no technical license protection</v>
      </c>
      <c r="N410" s="1" t="s">
        <v>47</v>
      </c>
      <c r="O410" s="1">
        <v>10</v>
      </c>
      <c r="P410" s="1">
        <v>50</v>
      </c>
      <c r="Q410" s="1" t="str">
        <f>VLOOKUP(AB410,[1]Operational_Profit_Type_ID!$A$2:$B$3,2,FALSE)</f>
        <v>Fix rate</v>
      </c>
      <c r="R410" s="1" t="s">
        <v>55</v>
      </c>
      <c r="T410" s="1" t="str">
        <f>VLOOKUP(AD410,[1]UpdateRightID!$A$2:$B$4,2,FALSE)</f>
        <v>UpdateRightByConfiguration</v>
      </c>
      <c r="U410" s="1" t="s">
        <v>48</v>
      </c>
      <c r="Y410" s="1">
        <v>0</v>
      </c>
      <c r="AB410" s="1">
        <v>1</v>
      </c>
      <c r="AD410" s="1">
        <v>1</v>
      </c>
      <c r="AE410" s="1">
        <v>1</v>
      </c>
    </row>
    <row r="411" spans="1:31" ht="75">
      <c r="B411" s="1" t="s">
        <v>1108</v>
      </c>
      <c r="C411" t="s">
        <v>1109</v>
      </c>
      <c r="D411" s="1" t="s">
        <v>1110</v>
      </c>
      <c r="E411" s="1" t="e">
        <f>VLOOKUP(Z411,[1]LicenseDuration_ID!$A$2:$B$8,2,FALSE)</f>
        <v>#N/A</v>
      </c>
      <c r="F411" s="1" t="e">
        <f>VLOOKUP(AA411,[1]MaintenanceDuration_ID!$A$2:$B$5,2,FALSE)</f>
        <v>#N/A</v>
      </c>
      <c r="G411" s="1" t="e">
        <f>VLOOKUP(V411,[1]ExpectedDeliveryTime_ID!$A$2:$B$12,2,FALSE)</f>
        <v>#N/A</v>
      </c>
      <c r="H411" s="1" t="e">
        <f>VLOOKUP(AC411,[1]PaymentModel_ID!$A$2:$B$7,2,FALSE)</f>
        <v>#N/A</v>
      </c>
      <c r="I411" s="1" t="e">
        <f>VLOOKUP(W411,[1]ExpectedInvoiceDate_ID!$A$2:$B$12,2,FALSE)</f>
        <v>#N/A</v>
      </c>
      <c r="J411" s="1" t="e">
        <f>VLOOKUP(X411,[1]GrantOfRights_ID!$A$2:$B$7,2,FALSE)</f>
        <v>#N/A</v>
      </c>
      <c r="K411" s="1" t="str">
        <f>VLOOKUP(AE411,[1]Profile!$A$2:$B$8,2,FALSE)</f>
        <v>Product related service without profile</v>
      </c>
      <c r="M411" s="1" t="str">
        <f>VLOOKUP(Y411,[1]License_Method_ID!$A$2:$B$13,2,FALSE)</f>
        <v>no technical license protection</v>
      </c>
      <c r="N411" s="1" t="s">
        <v>47</v>
      </c>
      <c r="O411" s="1">
        <v>10</v>
      </c>
      <c r="Q411" s="1" t="str">
        <f>VLOOKUP(AB411,[1]Operational_Profit_Type_ID!$A$2:$B$3,2,FALSE)</f>
        <v>Calculated</v>
      </c>
      <c r="R411" s="1" t="s">
        <v>55</v>
      </c>
      <c r="S411" s="1">
        <v>10</v>
      </c>
      <c r="T411" s="1" t="str">
        <f>VLOOKUP(AD411,[1]UpdateRightID!$A$2:$B$4,2,FALSE)</f>
        <v>none</v>
      </c>
      <c r="U411" s="1" t="s">
        <v>48</v>
      </c>
      <c r="Y411" s="1">
        <v>0</v>
      </c>
      <c r="AB411" s="1">
        <v>2</v>
      </c>
      <c r="AD411" s="1">
        <v>0</v>
      </c>
      <c r="AE411" s="1">
        <v>0</v>
      </c>
    </row>
    <row r="412" spans="1:31" ht="75">
      <c r="B412" s="1" t="s">
        <v>1111</v>
      </c>
      <c r="C412" t="s">
        <v>1112</v>
      </c>
      <c r="D412" s="1" t="s">
        <v>1113</v>
      </c>
      <c r="E412" s="1" t="e">
        <f>VLOOKUP(Z412,[1]LicenseDuration_ID!$A$2:$B$8,2,FALSE)</f>
        <v>#N/A</v>
      </c>
      <c r="F412" s="1" t="e">
        <f>VLOOKUP(AA412,[1]MaintenanceDuration_ID!$A$2:$B$5,2,FALSE)</f>
        <v>#N/A</v>
      </c>
      <c r="G412" s="1" t="e">
        <f>VLOOKUP(V412,[1]ExpectedDeliveryTime_ID!$A$2:$B$12,2,FALSE)</f>
        <v>#N/A</v>
      </c>
      <c r="H412" s="1" t="e">
        <f>VLOOKUP(AC412,[1]PaymentModel_ID!$A$2:$B$7,2,FALSE)</f>
        <v>#N/A</v>
      </c>
      <c r="I412" s="1" t="e">
        <f>VLOOKUP(W412,[1]ExpectedInvoiceDate_ID!$A$2:$B$12,2,FALSE)</f>
        <v>#N/A</v>
      </c>
      <c r="J412" s="1" t="e">
        <f>VLOOKUP(X412,[1]GrantOfRights_ID!$A$2:$B$7,2,FALSE)</f>
        <v>#N/A</v>
      </c>
      <c r="K412" s="1" t="str">
        <f>VLOOKUP(AE412,[1]Profile!$A$2:$B$8,2,FALSE)</f>
        <v>Product related service without profile</v>
      </c>
      <c r="M412" s="1" t="str">
        <f>VLOOKUP(Y412,[1]License_Method_ID!$A$2:$B$13,2,FALSE)</f>
        <v>no technical license protection</v>
      </c>
      <c r="N412" s="1" t="s">
        <v>47</v>
      </c>
      <c r="O412" s="1">
        <v>10</v>
      </c>
      <c r="Q412" s="1" t="str">
        <f>VLOOKUP(AB412,[1]Operational_Profit_Type_ID!$A$2:$B$3,2,FALSE)</f>
        <v>Calculated</v>
      </c>
      <c r="R412" s="1" t="s">
        <v>55</v>
      </c>
      <c r="S412" s="1">
        <v>10</v>
      </c>
      <c r="T412" s="1" t="str">
        <f>VLOOKUP(AD412,[1]UpdateRightID!$A$2:$B$4,2,FALSE)</f>
        <v>none</v>
      </c>
      <c r="U412" s="1" t="s">
        <v>48</v>
      </c>
      <c r="Y412" s="1">
        <v>0</v>
      </c>
      <c r="AB412" s="1">
        <v>2</v>
      </c>
      <c r="AD412" s="1">
        <v>0</v>
      </c>
      <c r="AE412" s="1">
        <v>0</v>
      </c>
    </row>
    <row r="413" spans="1:31" ht="285">
      <c r="B413" s="1" t="s">
        <v>1114</v>
      </c>
      <c r="C413" t="s">
        <v>1115</v>
      </c>
      <c r="D413" s="1" t="s">
        <v>1116</v>
      </c>
      <c r="E413" s="1" t="e">
        <f>VLOOKUP(Z413,[1]LicenseDuration_ID!$A$2:$B$8,2,FALSE)</f>
        <v>#N/A</v>
      </c>
      <c r="F413" s="1" t="e">
        <f>VLOOKUP(AA413,[1]MaintenanceDuration_ID!$A$2:$B$5,2,FALSE)</f>
        <v>#N/A</v>
      </c>
      <c r="G413" s="1" t="e">
        <f>VLOOKUP(V413,[1]ExpectedDeliveryTime_ID!$A$2:$B$12,2,FALSE)</f>
        <v>#N/A</v>
      </c>
      <c r="H413" s="1" t="e">
        <f>VLOOKUP(AC413,[1]PaymentModel_ID!$A$2:$B$7,2,FALSE)</f>
        <v>#N/A</v>
      </c>
      <c r="I413" s="1" t="e">
        <f>VLOOKUP(W413,[1]ExpectedInvoiceDate_ID!$A$2:$B$12,2,FALSE)</f>
        <v>#N/A</v>
      </c>
      <c r="J413" s="1" t="e">
        <f>VLOOKUP(X413,[1]GrantOfRights_ID!$A$2:$B$7,2,FALSE)</f>
        <v>#N/A</v>
      </c>
      <c r="K413" s="1" t="str">
        <f>VLOOKUP(AE413,[1]Profile!$A$2:$B$8,2,FALSE)</f>
        <v>License</v>
      </c>
      <c r="M413" s="1" t="str">
        <f>VLOOKUP(Y413,[1]License_Method_ID!$A$2:$B$13,2,FALSE)</f>
        <v>no technical license protection</v>
      </c>
      <c r="N413" s="1" t="s">
        <v>47</v>
      </c>
      <c r="O413" s="1">
        <v>10</v>
      </c>
      <c r="P413" s="1">
        <v>50</v>
      </c>
      <c r="Q413" s="1" t="str">
        <f>VLOOKUP(AB413,[1]Operational_Profit_Type_ID!$A$2:$B$3,2,FALSE)</f>
        <v>Fix rate</v>
      </c>
      <c r="R413" s="1" t="s">
        <v>55</v>
      </c>
      <c r="S413" s="1">
        <v>0</v>
      </c>
      <c r="T413" s="1" t="str">
        <f>VLOOKUP(AD413,[1]UpdateRightID!$A$2:$B$4,2,FALSE)</f>
        <v>none</v>
      </c>
      <c r="U413" s="1" t="s">
        <v>48</v>
      </c>
      <c r="Y413" s="1">
        <v>0</v>
      </c>
      <c r="AB413" s="1">
        <v>1</v>
      </c>
      <c r="AD413" s="1">
        <v>0</v>
      </c>
      <c r="AE413" s="1">
        <v>1</v>
      </c>
    </row>
    <row r="414" spans="1:31" ht="240">
      <c r="B414" s="1" t="s">
        <v>1117</v>
      </c>
      <c r="C414" t="s">
        <v>1118</v>
      </c>
      <c r="D414" s="1" t="s">
        <v>1119</v>
      </c>
      <c r="E414" s="1" t="e">
        <f>VLOOKUP(Z414,[1]LicenseDuration_ID!$A$2:$B$8,2,FALSE)</f>
        <v>#N/A</v>
      </c>
      <c r="F414" s="1" t="e">
        <f>VLOOKUP(AA414,[1]MaintenanceDuration_ID!$A$2:$B$5,2,FALSE)</f>
        <v>#N/A</v>
      </c>
      <c r="G414" s="1" t="e">
        <f>VLOOKUP(V414,[1]ExpectedDeliveryTime_ID!$A$2:$B$12,2,FALSE)</f>
        <v>#N/A</v>
      </c>
      <c r="H414" s="1" t="e">
        <f>VLOOKUP(AC414,[1]PaymentModel_ID!$A$2:$B$7,2,FALSE)</f>
        <v>#N/A</v>
      </c>
      <c r="I414" s="1" t="e">
        <f>VLOOKUP(W414,[1]ExpectedInvoiceDate_ID!$A$2:$B$12,2,FALSE)</f>
        <v>#N/A</v>
      </c>
      <c r="J414" s="1" t="e">
        <f>VLOOKUP(X414,[1]GrantOfRights_ID!$A$2:$B$7,2,FALSE)</f>
        <v>#N/A</v>
      </c>
      <c r="K414" s="1" t="str">
        <f>VLOOKUP(AE414,[1]Profile!$A$2:$B$8,2,FALSE)</f>
        <v>License</v>
      </c>
      <c r="M414" s="1" t="str">
        <f>VLOOKUP(Y414,[1]License_Method_ID!$A$2:$B$13,2,FALSE)</f>
        <v>no technical license protection</v>
      </c>
      <c r="N414" s="1" t="s">
        <v>47</v>
      </c>
      <c r="O414" s="1">
        <v>10</v>
      </c>
      <c r="P414" s="1">
        <v>50</v>
      </c>
      <c r="Q414" s="1" t="str">
        <f>VLOOKUP(AB414,[1]Operational_Profit_Type_ID!$A$2:$B$3,2,FALSE)</f>
        <v>Fix rate</v>
      </c>
      <c r="R414" s="1" t="s">
        <v>55</v>
      </c>
      <c r="S414" s="1">
        <v>0</v>
      </c>
      <c r="T414" s="1" t="str">
        <f>VLOOKUP(AD414,[1]UpdateRightID!$A$2:$B$4,2,FALSE)</f>
        <v>TotalAmountAsUpdateRight</v>
      </c>
      <c r="U414" s="1" t="s">
        <v>48</v>
      </c>
      <c r="Y414" s="1">
        <v>0</v>
      </c>
      <c r="AB414" s="1">
        <v>1</v>
      </c>
      <c r="AD414" s="1">
        <v>2</v>
      </c>
      <c r="AE414" s="1">
        <v>1</v>
      </c>
    </row>
    <row r="415" spans="1:31" ht="150">
      <c r="B415" s="1" t="s">
        <v>1120</v>
      </c>
      <c r="C415" t="s">
        <v>1121</v>
      </c>
      <c r="D415" s="1" t="s">
        <v>1122</v>
      </c>
      <c r="E415" s="1" t="e">
        <f>VLOOKUP(Z415,[1]LicenseDuration_ID!$A$2:$B$8,2,FALSE)</f>
        <v>#N/A</v>
      </c>
      <c r="F415" s="1" t="e">
        <f>VLOOKUP(AA415,[1]MaintenanceDuration_ID!$A$2:$B$5,2,FALSE)</f>
        <v>#N/A</v>
      </c>
      <c r="G415" s="1" t="e">
        <f>VLOOKUP(V415,[1]ExpectedDeliveryTime_ID!$A$2:$B$12,2,FALSE)</f>
        <v>#N/A</v>
      </c>
      <c r="H415" s="1" t="e">
        <f>VLOOKUP(AC415,[1]PaymentModel_ID!$A$2:$B$7,2,FALSE)</f>
        <v>#N/A</v>
      </c>
      <c r="I415" s="1" t="e">
        <f>VLOOKUP(W415,[1]ExpectedInvoiceDate_ID!$A$2:$B$12,2,FALSE)</f>
        <v>#N/A</v>
      </c>
      <c r="J415" s="1" t="e">
        <f>VLOOKUP(X415,[1]GrantOfRights_ID!$A$2:$B$7,2,FALSE)</f>
        <v>#N/A</v>
      </c>
      <c r="K415" s="1" t="str">
        <f>VLOOKUP(AE415,[1]Profile!$A$2:$B$8,2,FALSE)</f>
        <v>License</v>
      </c>
      <c r="M415" s="1" t="str">
        <f>VLOOKUP(Y415,[1]License_Method_ID!$A$2:$B$13,2,FALSE)</f>
        <v>no technical license protection</v>
      </c>
      <c r="N415" s="1" t="s">
        <v>47</v>
      </c>
      <c r="O415" s="1">
        <v>10</v>
      </c>
      <c r="P415" s="1">
        <v>50</v>
      </c>
      <c r="Q415" s="1" t="str">
        <f>VLOOKUP(AB415,[1]Operational_Profit_Type_ID!$A$2:$B$3,2,FALSE)</f>
        <v>Fix rate</v>
      </c>
      <c r="R415" s="1" t="s">
        <v>48</v>
      </c>
      <c r="T415" s="1" t="str">
        <f>VLOOKUP(AD415,[1]UpdateRightID!$A$2:$B$4,2,FALSE)</f>
        <v>none</v>
      </c>
      <c r="U415" s="1" t="s">
        <v>48</v>
      </c>
      <c r="Y415" s="1">
        <v>0</v>
      </c>
      <c r="AB415" s="1">
        <v>1</v>
      </c>
      <c r="AD415" s="1">
        <v>0</v>
      </c>
      <c r="AE415" s="1">
        <v>1</v>
      </c>
    </row>
    <row r="416" spans="1:31" ht="150">
      <c r="B416" s="1" t="s">
        <v>1123</v>
      </c>
      <c r="C416" t="s">
        <v>1124</v>
      </c>
      <c r="D416" s="1" t="s">
        <v>1125</v>
      </c>
      <c r="E416" s="1" t="e">
        <f>VLOOKUP(Z416,[1]LicenseDuration_ID!$A$2:$B$8,2,FALSE)</f>
        <v>#N/A</v>
      </c>
      <c r="F416" s="1" t="e">
        <f>VLOOKUP(AA416,[1]MaintenanceDuration_ID!$A$2:$B$5,2,FALSE)</f>
        <v>#N/A</v>
      </c>
      <c r="G416" s="1" t="e">
        <f>VLOOKUP(V416,[1]ExpectedDeliveryTime_ID!$A$2:$B$12,2,FALSE)</f>
        <v>#N/A</v>
      </c>
      <c r="H416" s="1" t="e">
        <f>VLOOKUP(AC416,[1]PaymentModel_ID!$A$2:$B$7,2,FALSE)</f>
        <v>#N/A</v>
      </c>
      <c r="I416" s="1" t="e">
        <f>VLOOKUP(W416,[1]ExpectedInvoiceDate_ID!$A$2:$B$12,2,FALSE)</f>
        <v>#N/A</v>
      </c>
      <c r="J416" s="1" t="e">
        <f>VLOOKUP(X416,[1]GrantOfRights_ID!$A$2:$B$7,2,FALSE)</f>
        <v>#N/A</v>
      </c>
      <c r="K416" s="1" t="str">
        <f>VLOOKUP(AE416,[1]Profile!$A$2:$B$8,2,FALSE)</f>
        <v>License</v>
      </c>
      <c r="M416" s="1" t="str">
        <f>VLOOKUP(Y416,[1]License_Method_ID!$A$2:$B$13,2,FALSE)</f>
        <v>no technical license protection</v>
      </c>
      <c r="N416" s="1" t="s">
        <v>47</v>
      </c>
      <c r="O416" s="1">
        <v>10</v>
      </c>
      <c r="P416" s="1">
        <v>50</v>
      </c>
      <c r="Q416" s="1" t="str">
        <f>VLOOKUP(AB416,[1]Operational_Profit_Type_ID!$A$2:$B$3,2,FALSE)</f>
        <v>Fix rate</v>
      </c>
      <c r="R416" s="1" t="s">
        <v>48</v>
      </c>
      <c r="T416" s="1" t="str">
        <f>VLOOKUP(AD416,[1]UpdateRightID!$A$2:$B$4,2,FALSE)</f>
        <v>none</v>
      </c>
      <c r="U416" s="1" t="s">
        <v>48</v>
      </c>
      <c r="Y416" s="1">
        <v>0</v>
      </c>
      <c r="AB416" s="1">
        <v>1</v>
      </c>
      <c r="AD416" s="1">
        <v>0</v>
      </c>
      <c r="AE416" s="1">
        <v>1</v>
      </c>
    </row>
    <row r="417" spans="2:31" ht="150">
      <c r="B417" s="1" t="s">
        <v>1126</v>
      </c>
      <c r="C417" t="s">
        <v>1127</v>
      </c>
      <c r="D417" s="1" t="s">
        <v>1125</v>
      </c>
      <c r="E417" s="1" t="e">
        <f>VLOOKUP(Z417,[1]LicenseDuration_ID!$A$2:$B$8,2,FALSE)</f>
        <v>#N/A</v>
      </c>
      <c r="F417" s="1" t="e">
        <f>VLOOKUP(AA417,[1]MaintenanceDuration_ID!$A$2:$B$5,2,FALSE)</f>
        <v>#N/A</v>
      </c>
      <c r="G417" s="1" t="e">
        <f>VLOOKUP(V417,[1]ExpectedDeliveryTime_ID!$A$2:$B$12,2,FALSE)</f>
        <v>#N/A</v>
      </c>
      <c r="H417" s="1" t="e">
        <f>VLOOKUP(AC417,[1]PaymentModel_ID!$A$2:$B$7,2,FALSE)</f>
        <v>#N/A</v>
      </c>
      <c r="I417" s="1" t="e">
        <f>VLOOKUP(W417,[1]ExpectedInvoiceDate_ID!$A$2:$B$12,2,FALSE)</f>
        <v>#N/A</v>
      </c>
      <c r="J417" s="1" t="e">
        <f>VLOOKUP(X417,[1]GrantOfRights_ID!$A$2:$B$7,2,FALSE)</f>
        <v>#N/A</v>
      </c>
      <c r="K417" s="1" t="str">
        <f>VLOOKUP(AE417,[1]Profile!$A$2:$B$8,2,FALSE)</f>
        <v>License</v>
      </c>
      <c r="M417" s="1" t="str">
        <f>VLOOKUP(Y417,[1]License_Method_ID!$A$2:$B$13,2,FALSE)</f>
        <v>no technical license protection</v>
      </c>
      <c r="N417" s="1" t="s">
        <v>47</v>
      </c>
      <c r="O417" s="1">
        <v>10</v>
      </c>
      <c r="P417" s="1">
        <v>50</v>
      </c>
      <c r="Q417" s="1" t="str">
        <f>VLOOKUP(AB417,[1]Operational_Profit_Type_ID!$A$2:$B$3,2,FALSE)</f>
        <v>Fix rate</v>
      </c>
      <c r="R417" s="1" t="s">
        <v>48</v>
      </c>
      <c r="T417" s="1" t="str">
        <f>VLOOKUP(AD417,[1]UpdateRightID!$A$2:$B$4,2,FALSE)</f>
        <v>none</v>
      </c>
      <c r="U417" s="1" t="s">
        <v>48</v>
      </c>
      <c r="Y417" s="1">
        <v>0</v>
      </c>
      <c r="AB417" s="1">
        <v>1</v>
      </c>
      <c r="AD417" s="1">
        <v>0</v>
      </c>
      <c r="AE417" s="1">
        <v>1</v>
      </c>
    </row>
    <row r="418" spans="2:31" ht="150">
      <c r="B418" s="1" t="s">
        <v>1128</v>
      </c>
      <c r="C418" t="s">
        <v>1129</v>
      </c>
      <c r="D418" s="1" t="s">
        <v>1125</v>
      </c>
      <c r="E418" s="1" t="e">
        <f>VLOOKUP(Z418,[1]LicenseDuration_ID!$A$2:$B$8,2,FALSE)</f>
        <v>#N/A</v>
      </c>
      <c r="F418" s="1" t="e">
        <f>VLOOKUP(AA418,[1]MaintenanceDuration_ID!$A$2:$B$5,2,FALSE)</f>
        <v>#N/A</v>
      </c>
      <c r="G418" s="1" t="e">
        <f>VLOOKUP(V418,[1]ExpectedDeliveryTime_ID!$A$2:$B$12,2,FALSE)</f>
        <v>#N/A</v>
      </c>
      <c r="H418" s="1" t="e">
        <f>VLOOKUP(AC418,[1]PaymentModel_ID!$A$2:$B$7,2,FALSE)</f>
        <v>#N/A</v>
      </c>
      <c r="I418" s="1" t="e">
        <f>VLOOKUP(W418,[1]ExpectedInvoiceDate_ID!$A$2:$B$12,2,FALSE)</f>
        <v>#N/A</v>
      </c>
      <c r="J418" s="1" t="e">
        <f>VLOOKUP(X418,[1]GrantOfRights_ID!$A$2:$B$7,2,FALSE)</f>
        <v>#N/A</v>
      </c>
      <c r="K418" s="1" t="str">
        <f>VLOOKUP(AE418,[1]Profile!$A$2:$B$8,2,FALSE)</f>
        <v>License</v>
      </c>
      <c r="M418" s="1" t="str">
        <f>VLOOKUP(Y418,[1]License_Method_ID!$A$2:$B$13,2,FALSE)</f>
        <v>no technical license protection</v>
      </c>
      <c r="N418" s="1" t="s">
        <v>47</v>
      </c>
      <c r="O418" s="1">
        <v>10</v>
      </c>
      <c r="P418" s="1">
        <v>50</v>
      </c>
      <c r="Q418" s="1" t="str">
        <f>VLOOKUP(AB418,[1]Operational_Profit_Type_ID!$A$2:$B$3,2,FALSE)</f>
        <v>Fix rate</v>
      </c>
      <c r="R418" s="1" t="s">
        <v>48</v>
      </c>
      <c r="T418" s="1" t="str">
        <f>VLOOKUP(AD418,[1]UpdateRightID!$A$2:$B$4,2,FALSE)</f>
        <v>none</v>
      </c>
      <c r="U418" s="1" t="s">
        <v>48</v>
      </c>
      <c r="Y418" s="1">
        <v>0</v>
      </c>
      <c r="AB418" s="1">
        <v>1</v>
      </c>
      <c r="AD418" s="1">
        <v>0</v>
      </c>
      <c r="AE418" s="1">
        <v>1</v>
      </c>
    </row>
    <row r="419" spans="2:31" ht="150">
      <c r="B419" s="1" t="s">
        <v>1130</v>
      </c>
      <c r="C419" t="s">
        <v>1131</v>
      </c>
      <c r="D419" s="1" t="s">
        <v>1125</v>
      </c>
      <c r="E419" s="1" t="e">
        <f>VLOOKUP(Z419,[1]LicenseDuration_ID!$A$2:$B$8,2,FALSE)</f>
        <v>#N/A</v>
      </c>
      <c r="F419" s="1" t="e">
        <f>VLOOKUP(AA419,[1]MaintenanceDuration_ID!$A$2:$B$5,2,FALSE)</f>
        <v>#N/A</v>
      </c>
      <c r="G419" s="1" t="e">
        <f>VLOOKUP(V419,[1]ExpectedDeliveryTime_ID!$A$2:$B$12,2,FALSE)</f>
        <v>#N/A</v>
      </c>
      <c r="H419" s="1" t="e">
        <f>VLOOKUP(AC419,[1]PaymentModel_ID!$A$2:$B$7,2,FALSE)</f>
        <v>#N/A</v>
      </c>
      <c r="I419" s="1" t="e">
        <f>VLOOKUP(W419,[1]ExpectedInvoiceDate_ID!$A$2:$B$12,2,FALSE)</f>
        <v>#N/A</v>
      </c>
      <c r="J419" s="1" t="e">
        <f>VLOOKUP(X419,[1]GrantOfRights_ID!$A$2:$B$7,2,FALSE)</f>
        <v>#N/A</v>
      </c>
      <c r="K419" s="1" t="str">
        <f>VLOOKUP(AE419,[1]Profile!$A$2:$B$8,2,FALSE)</f>
        <v>License</v>
      </c>
      <c r="M419" s="1" t="str">
        <f>VLOOKUP(Y419,[1]License_Method_ID!$A$2:$B$13,2,FALSE)</f>
        <v>no technical license protection</v>
      </c>
      <c r="N419" s="1" t="s">
        <v>47</v>
      </c>
      <c r="O419" s="1">
        <v>10</v>
      </c>
      <c r="P419" s="1">
        <v>50</v>
      </c>
      <c r="Q419" s="1" t="str">
        <f>VLOOKUP(AB419,[1]Operational_Profit_Type_ID!$A$2:$B$3,2,FALSE)</f>
        <v>Fix rate</v>
      </c>
      <c r="R419" s="1" t="s">
        <v>48</v>
      </c>
      <c r="T419" s="1" t="str">
        <f>VLOOKUP(AD419,[1]UpdateRightID!$A$2:$B$4,2,FALSE)</f>
        <v>none</v>
      </c>
      <c r="U419" s="1" t="s">
        <v>48</v>
      </c>
      <c r="Y419" s="1">
        <v>0</v>
      </c>
      <c r="AB419" s="1">
        <v>1</v>
      </c>
      <c r="AD419" s="1">
        <v>0</v>
      </c>
      <c r="AE419" s="1">
        <v>1</v>
      </c>
    </row>
    <row r="420" spans="2:31" ht="165">
      <c r="B420" s="1" t="s">
        <v>1132</v>
      </c>
      <c r="C420" t="s">
        <v>1133</v>
      </c>
      <c r="D420" s="1" t="s">
        <v>1134</v>
      </c>
      <c r="E420" s="1" t="e">
        <f>VLOOKUP(Z420,[1]LicenseDuration_ID!$A$2:$B$8,2,FALSE)</f>
        <v>#N/A</v>
      </c>
      <c r="F420" s="1" t="e">
        <f>VLOOKUP(AA420,[1]MaintenanceDuration_ID!$A$2:$B$5,2,FALSE)</f>
        <v>#N/A</v>
      </c>
      <c r="G420" s="1" t="e">
        <f>VLOOKUP(V420,[1]ExpectedDeliveryTime_ID!$A$2:$B$12,2,FALSE)</f>
        <v>#N/A</v>
      </c>
      <c r="H420" s="1" t="e">
        <f>VLOOKUP(AC420,[1]PaymentModel_ID!$A$2:$B$7,2,FALSE)</f>
        <v>#N/A</v>
      </c>
      <c r="I420" s="1" t="e">
        <f>VLOOKUP(W420,[1]ExpectedInvoiceDate_ID!$A$2:$B$12,2,FALSE)</f>
        <v>#N/A</v>
      </c>
      <c r="J420" s="1" t="e">
        <f>VLOOKUP(X420,[1]GrantOfRights_ID!$A$2:$B$7,2,FALSE)</f>
        <v>#N/A</v>
      </c>
      <c r="K420" s="1" t="str">
        <f>VLOOKUP(AE420,[1]Profile!$A$2:$B$8,2,FALSE)</f>
        <v>License</v>
      </c>
      <c r="M420" s="1" t="str">
        <f>VLOOKUP(Y420,[1]License_Method_ID!$A$2:$B$13,2,FALSE)</f>
        <v>no technical license protection</v>
      </c>
      <c r="N420" s="1" t="s">
        <v>47</v>
      </c>
      <c r="O420" s="1">
        <v>10</v>
      </c>
      <c r="P420" s="1">
        <v>50</v>
      </c>
      <c r="Q420" s="1" t="str">
        <f>VLOOKUP(AB420,[1]Operational_Profit_Type_ID!$A$2:$B$3,2,FALSE)</f>
        <v>Fix rate</v>
      </c>
      <c r="R420" s="1" t="s">
        <v>55</v>
      </c>
      <c r="T420" s="1" t="str">
        <f>VLOOKUP(AD420,[1]UpdateRightID!$A$2:$B$4,2,FALSE)</f>
        <v>none</v>
      </c>
      <c r="U420" s="1" t="s">
        <v>48</v>
      </c>
      <c r="Y420" s="1">
        <v>0</v>
      </c>
      <c r="AB420" s="1">
        <v>1</v>
      </c>
      <c r="AD420" s="1">
        <v>0</v>
      </c>
      <c r="AE420" s="1">
        <v>1</v>
      </c>
    </row>
    <row r="421" spans="2:31" ht="135">
      <c r="B421" s="1" t="s">
        <v>1135</v>
      </c>
      <c r="C421" t="s">
        <v>1136</v>
      </c>
      <c r="D421" s="1" t="s">
        <v>1137</v>
      </c>
      <c r="E421" s="1" t="e">
        <f>VLOOKUP(Z421,[1]LicenseDuration_ID!$A$2:$B$8,2,FALSE)</f>
        <v>#N/A</v>
      </c>
      <c r="F421" s="1" t="e">
        <f>VLOOKUP(AA421,[1]MaintenanceDuration_ID!$A$2:$B$5,2,FALSE)</f>
        <v>#N/A</v>
      </c>
      <c r="G421" s="1" t="e">
        <f>VLOOKUP(V421,[1]ExpectedDeliveryTime_ID!$A$2:$B$12,2,FALSE)</f>
        <v>#N/A</v>
      </c>
      <c r="H421" s="1" t="e">
        <f>VLOOKUP(AC421,[1]PaymentModel_ID!$A$2:$B$7,2,FALSE)</f>
        <v>#N/A</v>
      </c>
      <c r="I421" s="1" t="e">
        <f>VLOOKUP(W421,[1]ExpectedInvoiceDate_ID!$A$2:$B$12,2,FALSE)</f>
        <v>#N/A</v>
      </c>
      <c r="J421" s="1" t="e">
        <f>VLOOKUP(X421,[1]GrantOfRights_ID!$A$2:$B$7,2,FALSE)</f>
        <v>#N/A</v>
      </c>
      <c r="K421" s="1" t="str">
        <f>VLOOKUP(AE421,[1]Profile!$A$2:$B$8,2,FALSE)</f>
        <v>Porting</v>
      </c>
      <c r="M421" s="1" t="str">
        <f>VLOOKUP(Y421,[1]License_Method_ID!$A$2:$B$13,2,FALSE)</f>
        <v>no technical license protection</v>
      </c>
      <c r="N421" s="1" t="s">
        <v>88</v>
      </c>
      <c r="O421" s="1">
        <v>10</v>
      </c>
      <c r="Q421" s="1" t="str">
        <f>VLOOKUP(AB421,[1]Operational_Profit_Type_ID!$A$2:$B$3,2,FALSE)</f>
        <v>Calculated</v>
      </c>
      <c r="R421" s="1" t="s">
        <v>55</v>
      </c>
      <c r="T421" s="1" t="str">
        <f>VLOOKUP(AD421,[1]UpdateRightID!$A$2:$B$4,2,FALSE)</f>
        <v>none</v>
      </c>
      <c r="U421" s="1" t="s">
        <v>48</v>
      </c>
      <c r="Y421" s="1">
        <v>0</v>
      </c>
      <c r="AB421" s="1">
        <v>2</v>
      </c>
      <c r="AD421" s="1">
        <v>0</v>
      </c>
      <c r="AE421" s="1">
        <v>4</v>
      </c>
    </row>
    <row r="422" spans="2:31" ht="409.5">
      <c r="B422" s="1" t="s">
        <v>1138</v>
      </c>
      <c r="C422" t="s">
        <v>1139</v>
      </c>
      <c r="D422" s="1" t="s">
        <v>1140</v>
      </c>
      <c r="E422" s="1" t="e">
        <f>VLOOKUP(Z422,[1]LicenseDuration_ID!$A$2:$B$8,2,FALSE)</f>
        <v>#N/A</v>
      </c>
      <c r="F422" s="1" t="e">
        <f>VLOOKUP(AA422,[1]MaintenanceDuration_ID!$A$2:$B$5,2,FALSE)</f>
        <v>#N/A</v>
      </c>
      <c r="G422" s="1" t="e">
        <f>VLOOKUP(V422,[1]ExpectedDeliveryTime_ID!$A$2:$B$12,2,FALSE)</f>
        <v>#N/A</v>
      </c>
      <c r="H422" s="1" t="e">
        <f>VLOOKUP(AC422,[1]PaymentModel_ID!$A$2:$B$7,2,FALSE)</f>
        <v>#N/A</v>
      </c>
      <c r="I422" s="1" t="e">
        <f>VLOOKUP(W422,[1]ExpectedInvoiceDate_ID!$A$2:$B$12,2,FALSE)</f>
        <v>#N/A</v>
      </c>
      <c r="J422" s="1" t="e">
        <f>VLOOKUP(X422,[1]GrantOfRights_ID!$A$2:$B$7,2,FALSE)</f>
        <v>#N/A</v>
      </c>
      <c r="K422" s="1" t="str">
        <f>VLOOKUP(AE422,[1]Profile!$A$2:$B$8,2,FALSE)</f>
        <v>License</v>
      </c>
      <c r="M422" s="1" t="str">
        <f>VLOOKUP(Y422,[1]License_Method_ID!$A$2:$B$13,2,FALSE)</f>
        <v>no technical license protection</v>
      </c>
      <c r="N422" s="1" t="s">
        <v>47</v>
      </c>
      <c r="O422" s="1">
        <v>10</v>
      </c>
      <c r="P422" s="1">
        <v>50</v>
      </c>
      <c r="Q422" s="1" t="str">
        <f>VLOOKUP(AB422,[1]Operational_Profit_Type_ID!$A$2:$B$3,2,FALSE)</f>
        <v>Fix rate</v>
      </c>
      <c r="R422" s="1" t="s">
        <v>48</v>
      </c>
      <c r="T422" s="1" t="str">
        <f>VLOOKUP(AD422,[1]UpdateRightID!$A$2:$B$4,2,FALSE)</f>
        <v>UpdateRightByConfiguration</v>
      </c>
      <c r="U422" s="1" t="s">
        <v>48</v>
      </c>
      <c r="Y422" s="1">
        <v>0</v>
      </c>
      <c r="AB422" s="1">
        <v>1</v>
      </c>
      <c r="AD422" s="1">
        <v>1</v>
      </c>
      <c r="AE422" s="1">
        <v>1</v>
      </c>
    </row>
    <row r="423" spans="2:31" ht="409.5">
      <c r="B423" s="1" t="s">
        <v>1141</v>
      </c>
      <c r="C423" t="s">
        <v>1142</v>
      </c>
      <c r="D423" s="1" t="s">
        <v>1143</v>
      </c>
      <c r="E423" s="1" t="e">
        <f>VLOOKUP(Z423,[1]LicenseDuration_ID!$A$2:$B$8,2,FALSE)</f>
        <v>#N/A</v>
      </c>
      <c r="F423" s="1" t="e">
        <f>VLOOKUP(AA423,[1]MaintenanceDuration_ID!$A$2:$B$5,2,FALSE)</f>
        <v>#N/A</v>
      </c>
      <c r="G423" s="1" t="e">
        <f>VLOOKUP(V423,[1]ExpectedDeliveryTime_ID!$A$2:$B$12,2,FALSE)</f>
        <v>#N/A</v>
      </c>
      <c r="H423" s="1" t="e">
        <f>VLOOKUP(AC423,[1]PaymentModel_ID!$A$2:$B$7,2,FALSE)</f>
        <v>#N/A</v>
      </c>
      <c r="I423" s="1" t="e">
        <f>VLOOKUP(W423,[1]ExpectedInvoiceDate_ID!$A$2:$B$12,2,FALSE)</f>
        <v>#N/A</v>
      </c>
      <c r="J423" s="1" t="e">
        <f>VLOOKUP(X423,[1]GrantOfRights_ID!$A$2:$B$7,2,FALSE)</f>
        <v>#N/A</v>
      </c>
      <c r="K423" s="1" t="str">
        <f>VLOOKUP(AE423,[1]Profile!$A$2:$B$8,2,FALSE)</f>
        <v>License</v>
      </c>
      <c r="M423" s="1" t="str">
        <f>VLOOKUP(Y423,[1]License_Method_ID!$A$2:$B$13,2,FALSE)</f>
        <v>no technical license protection</v>
      </c>
      <c r="N423" s="1" t="s">
        <v>47</v>
      </c>
      <c r="O423" s="1">
        <v>10</v>
      </c>
      <c r="P423" s="1">
        <v>50</v>
      </c>
      <c r="Q423" s="1" t="str">
        <f>VLOOKUP(AB423,[1]Operational_Profit_Type_ID!$A$2:$B$3,2,FALSE)</f>
        <v>Fix rate</v>
      </c>
      <c r="R423" s="1" t="s">
        <v>55</v>
      </c>
      <c r="T423" s="1" t="str">
        <f>VLOOKUP(AD423,[1]UpdateRightID!$A$2:$B$4,2,FALSE)</f>
        <v>none</v>
      </c>
      <c r="U423" s="1" t="s">
        <v>48</v>
      </c>
      <c r="Y423" s="1">
        <v>0</v>
      </c>
      <c r="AB423" s="1">
        <v>1</v>
      </c>
      <c r="AD423" s="1">
        <v>0</v>
      </c>
      <c r="AE423" s="1">
        <v>1</v>
      </c>
    </row>
    <row r="424" spans="2:31" ht="120">
      <c r="B424" s="1" t="s">
        <v>1144</v>
      </c>
      <c r="C424" t="s">
        <v>1145</v>
      </c>
      <c r="D424" s="1" t="s">
        <v>1146</v>
      </c>
      <c r="E424" s="1" t="e">
        <f>VLOOKUP(Z424,[1]LicenseDuration_ID!$A$2:$B$8,2,FALSE)</f>
        <v>#N/A</v>
      </c>
      <c r="F424" s="1" t="e">
        <f>VLOOKUP(AA424,[1]MaintenanceDuration_ID!$A$2:$B$5,2,FALSE)</f>
        <v>#N/A</v>
      </c>
      <c r="G424" s="1" t="e">
        <f>VLOOKUP(V424,[1]ExpectedDeliveryTime_ID!$A$2:$B$12,2,FALSE)</f>
        <v>#N/A</v>
      </c>
      <c r="H424" s="1" t="e">
        <f>VLOOKUP(AC424,[1]PaymentModel_ID!$A$2:$B$7,2,FALSE)</f>
        <v>#N/A</v>
      </c>
      <c r="I424" s="1" t="e">
        <f>VLOOKUP(W424,[1]ExpectedInvoiceDate_ID!$A$2:$B$12,2,FALSE)</f>
        <v>#N/A</v>
      </c>
      <c r="J424" s="1" t="e">
        <f>VLOOKUP(X424,[1]GrantOfRights_ID!$A$2:$B$7,2,FALSE)</f>
        <v>#N/A</v>
      </c>
      <c r="K424" s="1" t="str">
        <f>VLOOKUP(AE424,[1]Profile!$A$2:$B$8,2,FALSE)</f>
        <v>License</v>
      </c>
      <c r="M424" s="1" t="str">
        <f>VLOOKUP(Y424,[1]License_Method_ID!$A$2:$B$13,2,FALSE)</f>
        <v>no technical license protection</v>
      </c>
      <c r="N424" s="1" t="s">
        <v>47</v>
      </c>
      <c r="O424" s="1">
        <v>10</v>
      </c>
      <c r="P424" s="1">
        <v>50</v>
      </c>
      <c r="Q424" s="1" t="str">
        <f>VLOOKUP(AB424,[1]Operational_Profit_Type_ID!$A$2:$B$3,2,FALSE)</f>
        <v>Fix rate</v>
      </c>
      <c r="R424" s="1" t="s">
        <v>55</v>
      </c>
      <c r="T424" s="1" t="str">
        <f>VLOOKUP(AD424,[1]UpdateRightID!$A$2:$B$4,2,FALSE)</f>
        <v>none</v>
      </c>
      <c r="U424" s="1" t="s">
        <v>48</v>
      </c>
      <c r="Y424" s="1">
        <v>0</v>
      </c>
      <c r="AB424" s="1">
        <v>1</v>
      </c>
      <c r="AD424" s="1">
        <v>0</v>
      </c>
      <c r="AE424" s="1">
        <v>1</v>
      </c>
    </row>
    <row r="425" spans="2:31" ht="120">
      <c r="B425" s="1" t="s">
        <v>1147</v>
      </c>
      <c r="C425" t="s">
        <v>1148</v>
      </c>
      <c r="D425" s="1" t="s">
        <v>1146</v>
      </c>
      <c r="E425" s="1" t="e">
        <f>VLOOKUP(Z425,[1]LicenseDuration_ID!$A$2:$B$8,2,FALSE)</f>
        <v>#N/A</v>
      </c>
      <c r="F425" s="1" t="e">
        <f>VLOOKUP(AA425,[1]MaintenanceDuration_ID!$A$2:$B$5,2,FALSE)</f>
        <v>#N/A</v>
      </c>
      <c r="G425" s="1" t="e">
        <f>VLOOKUP(V425,[1]ExpectedDeliveryTime_ID!$A$2:$B$12,2,FALSE)</f>
        <v>#N/A</v>
      </c>
      <c r="H425" s="1" t="e">
        <f>VLOOKUP(AC425,[1]PaymentModel_ID!$A$2:$B$7,2,FALSE)</f>
        <v>#N/A</v>
      </c>
      <c r="I425" s="1" t="e">
        <f>VLOOKUP(W425,[1]ExpectedInvoiceDate_ID!$A$2:$B$12,2,FALSE)</f>
        <v>#N/A</v>
      </c>
      <c r="J425" s="1" t="e">
        <f>VLOOKUP(X425,[1]GrantOfRights_ID!$A$2:$B$7,2,FALSE)</f>
        <v>#N/A</v>
      </c>
      <c r="K425" s="1" t="str">
        <f>VLOOKUP(AE425,[1]Profile!$A$2:$B$8,2,FALSE)</f>
        <v>License</v>
      </c>
      <c r="M425" s="1" t="str">
        <f>VLOOKUP(Y425,[1]License_Method_ID!$A$2:$B$13,2,FALSE)</f>
        <v>no technical license protection</v>
      </c>
      <c r="N425" s="1" t="s">
        <v>47</v>
      </c>
      <c r="O425" s="1">
        <v>10</v>
      </c>
      <c r="P425" s="1">
        <v>50</v>
      </c>
      <c r="Q425" s="1" t="str">
        <f>VLOOKUP(AB425,[1]Operational_Profit_Type_ID!$A$2:$B$3,2,FALSE)</f>
        <v>Fix rate</v>
      </c>
      <c r="R425" s="1" t="s">
        <v>55</v>
      </c>
      <c r="T425" s="1" t="str">
        <f>VLOOKUP(AD425,[1]UpdateRightID!$A$2:$B$4,2,FALSE)</f>
        <v>none</v>
      </c>
      <c r="U425" s="1" t="s">
        <v>48</v>
      </c>
      <c r="Y425" s="1">
        <v>0</v>
      </c>
      <c r="AB425" s="1">
        <v>1</v>
      </c>
      <c r="AD425" s="1">
        <v>0</v>
      </c>
      <c r="AE425" s="1">
        <v>1</v>
      </c>
    </row>
    <row r="426" spans="2:31" ht="120">
      <c r="B426" s="1" t="s">
        <v>1149</v>
      </c>
      <c r="C426" t="s">
        <v>1150</v>
      </c>
      <c r="D426" s="1" t="s">
        <v>1146</v>
      </c>
      <c r="E426" s="1" t="e">
        <f>VLOOKUP(Z426,[1]LicenseDuration_ID!$A$2:$B$8,2,FALSE)</f>
        <v>#N/A</v>
      </c>
      <c r="F426" s="1" t="e">
        <f>VLOOKUP(AA426,[1]MaintenanceDuration_ID!$A$2:$B$5,2,FALSE)</f>
        <v>#N/A</v>
      </c>
      <c r="G426" s="1" t="e">
        <f>VLOOKUP(V426,[1]ExpectedDeliveryTime_ID!$A$2:$B$12,2,FALSE)</f>
        <v>#N/A</v>
      </c>
      <c r="H426" s="1" t="e">
        <f>VLOOKUP(AC426,[1]PaymentModel_ID!$A$2:$B$7,2,FALSE)</f>
        <v>#N/A</v>
      </c>
      <c r="I426" s="1" t="e">
        <f>VLOOKUP(W426,[1]ExpectedInvoiceDate_ID!$A$2:$B$12,2,FALSE)</f>
        <v>#N/A</v>
      </c>
      <c r="J426" s="1" t="e">
        <f>VLOOKUP(X426,[1]GrantOfRights_ID!$A$2:$B$7,2,FALSE)</f>
        <v>#N/A</v>
      </c>
      <c r="K426" s="1" t="str">
        <f>VLOOKUP(AE426,[1]Profile!$A$2:$B$8,2,FALSE)</f>
        <v>License</v>
      </c>
      <c r="M426" s="1" t="str">
        <f>VLOOKUP(Y426,[1]License_Method_ID!$A$2:$B$13,2,FALSE)</f>
        <v>no technical license protection</v>
      </c>
      <c r="N426" s="1" t="s">
        <v>47</v>
      </c>
      <c r="O426" s="1">
        <v>10</v>
      </c>
      <c r="P426" s="1">
        <v>50</v>
      </c>
      <c r="Q426" s="1" t="str">
        <f>VLOOKUP(AB426,[1]Operational_Profit_Type_ID!$A$2:$B$3,2,FALSE)</f>
        <v>Fix rate</v>
      </c>
      <c r="R426" s="1" t="s">
        <v>55</v>
      </c>
      <c r="T426" s="1" t="str">
        <f>VLOOKUP(AD426,[1]UpdateRightID!$A$2:$B$4,2,FALSE)</f>
        <v>none</v>
      </c>
      <c r="U426" s="1" t="s">
        <v>48</v>
      </c>
      <c r="Y426" s="1">
        <v>0</v>
      </c>
      <c r="AB426" s="1">
        <v>1</v>
      </c>
      <c r="AD426" s="1">
        <v>0</v>
      </c>
      <c r="AE426" s="1">
        <v>1</v>
      </c>
    </row>
    <row r="427" spans="2:31" ht="120">
      <c r="B427" s="1" t="s">
        <v>1151</v>
      </c>
      <c r="C427" t="s">
        <v>1152</v>
      </c>
      <c r="D427" s="1" t="s">
        <v>1146</v>
      </c>
      <c r="E427" s="1" t="e">
        <f>VLOOKUP(Z427,[1]LicenseDuration_ID!$A$2:$B$8,2,FALSE)</f>
        <v>#N/A</v>
      </c>
      <c r="F427" s="1" t="e">
        <f>VLOOKUP(AA427,[1]MaintenanceDuration_ID!$A$2:$B$5,2,FALSE)</f>
        <v>#N/A</v>
      </c>
      <c r="G427" s="1" t="e">
        <f>VLOOKUP(V427,[1]ExpectedDeliveryTime_ID!$A$2:$B$12,2,FALSE)</f>
        <v>#N/A</v>
      </c>
      <c r="H427" s="1" t="e">
        <f>VLOOKUP(AC427,[1]PaymentModel_ID!$A$2:$B$7,2,FALSE)</f>
        <v>#N/A</v>
      </c>
      <c r="I427" s="1" t="e">
        <f>VLOOKUP(W427,[1]ExpectedInvoiceDate_ID!$A$2:$B$12,2,FALSE)</f>
        <v>#N/A</v>
      </c>
      <c r="J427" s="1" t="e">
        <f>VLOOKUP(X427,[1]GrantOfRights_ID!$A$2:$B$7,2,FALSE)</f>
        <v>#N/A</v>
      </c>
      <c r="K427" s="1" t="str">
        <f>VLOOKUP(AE427,[1]Profile!$A$2:$B$8,2,FALSE)</f>
        <v>License</v>
      </c>
      <c r="M427" s="1" t="str">
        <f>VLOOKUP(Y427,[1]License_Method_ID!$A$2:$B$13,2,FALSE)</f>
        <v>no technical license protection</v>
      </c>
      <c r="N427" s="1" t="s">
        <v>47</v>
      </c>
      <c r="O427" s="1">
        <v>10</v>
      </c>
      <c r="P427" s="1">
        <v>50</v>
      </c>
      <c r="Q427" s="1" t="str">
        <f>VLOOKUP(AB427,[1]Operational_Profit_Type_ID!$A$2:$B$3,2,FALSE)</f>
        <v>Fix rate</v>
      </c>
      <c r="R427" s="1" t="s">
        <v>55</v>
      </c>
      <c r="T427" s="1" t="str">
        <f>VLOOKUP(AD427,[1]UpdateRightID!$A$2:$B$4,2,FALSE)</f>
        <v>none</v>
      </c>
      <c r="U427" s="1" t="s">
        <v>48</v>
      </c>
      <c r="Y427" s="1">
        <v>0</v>
      </c>
      <c r="AB427" s="1">
        <v>1</v>
      </c>
      <c r="AD427" s="1">
        <v>0</v>
      </c>
      <c r="AE427" s="1">
        <v>1</v>
      </c>
    </row>
    <row r="428" spans="2:31" ht="120">
      <c r="B428" s="1" t="s">
        <v>1153</v>
      </c>
      <c r="C428" t="s">
        <v>1154</v>
      </c>
      <c r="D428" s="1" t="s">
        <v>1146</v>
      </c>
      <c r="E428" s="1" t="e">
        <f>VLOOKUP(Z428,[1]LicenseDuration_ID!$A$2:$B$8,2,FALSE)</f>
        <v>#N/A</v>
      </c>
      <c r="F428" s="1" t="e">
        <f>VLOOKUP(AA428,[1]MaintenanceDuration_ID!$A$2:$B$5,2,FALSE)</f>
        <v>#N/A</v>
      </c>
      <c r="G428" s="1" t="e">
        <f>VLOOKUP(V428,[1]ExpectedDeliveryTime_ID!$A$2:$B$12,2,FALSE)</f>
        <v>#N/A</v>
      </c>
      <c r="H428" s="1" t="e">
        <f>VLOOKUP(AC428,[1]PaymentModel_ID!$A$2:$B$7,2,FALSE)</f>
        <v>#N/A</v>
      </c>
      <c r="I428" s="1" t="e">
        <f>VLOOKUP(W428,[1]ExpectedInvoiceDate_ID!$A$2:$B$12,2,FALSE)</f>
        <v>#N/A</v>
      </c>
      <c r="J428" s="1" t="e">
        <f>VLOOKUP(X428,[1]GrantOfRights_ID!$A$2:$B$7,2,FALSE)</f>
        <v>#N/A</v>
      </c>
      <c r="K428" s="1" t="str">
        <f>VLOOKUP(AE428,[1]Profile!$A$2:$B$8,2,FALSE)</f>
        <v>License</v>
      </c>
      <c r="M428" s="1" t="str">
        <f>VLOOKUP(Y428,[1]License_Method_ID!$A$2:$B$13,2,FALSE)</f>
        <v>no technical license protection</v>
      </c>
      <c r="N428" s="1" t="s">
        <v>47</v>
      </c>
      <c r="O428" s="1">
        <v>10</v>
      </c>
      <c r="P428" s="1">
        <v>50</v>
      </c>
      <c r="Q428" s="1" t="str">
        <f>VLOOKUP(AB428,[1]Operational_Profit_Type_ID!$A$2:$B$3,2,FALSE)</f>
        <v>Fix rate</v>
      </c>
      <c r="R428" s="1" t="s">
        <v>55</v>
      </c>
      <c r="T428" s="1" t="str">
        <f>VLOOKUP(AD428,[1]UpdateRightID!$A$2:$B$4,2,FALSE)</f>
        <v>none</v>
      </c>
      <c r="U428" s="1" t="s">
        <v>48</v>
      </c>
      <c r="Y428" s="1">
        <v>0</v>
      </c>
      <c r="AB428" s="1">
        <v>1</v>
      </c>
      <c r="AD428" s="1">
        <v>0</v>
      </c>
      <c r="AE428" s="1">
        <v>1</v>
      </c>
    </row>
    <row r="429" spans="2:31" ht="120">
      <c r="B429" s="1" t="s">
        <v>1155</v>
      </c>
      <c r="C429" t="s">
        <v>1156</v>
      </c>
      <c r="D429" s="1" t="s">
        <v>1146</v>
      </c>
      <c r="E429" s="1" t="e">
        <f>VLOOKUP(Z429,[1]LicenseDuration_ID!$A$2:$B$8,2,FALSE)</f>
        <v>#N/A</v>
      </c>
      <c r="F429" s="1" t="e">
        <f>VLOOKUP(AA429,[1]MaintenanceDuration_ID!$A$2:$B$5,2,FALSE)</f>
        <v>#N/A</v>
      </c>
      <c r="G429" s="1" t="e">
        <f>VLOOKUP(V429,[1]ExpectedDeliveryTime_ID!$A$2:$B$12,2,FALSE)</f>
        <v>#N/A</v>
      </c>
      <c r="H429" s="1" t="e">
        <f>VLOOKUP(AC429,[1]PaymentModel_ID!$A$2:$B$7,2,FALSE)</f>
        <v>#N/A</v>
      </c>
      <c r="I429" s="1" t="e">
        <f>VLOOKUP(W429,[1]ExpectedInvoiceDate_ID!$A$2:$B$12,2,FALSE)</f>
        <v>#N/A</v>
      </c>
      <c r="J429" s="1" t="e">
        <f>VLOOKUP(X429,[1]GrantOfRights_ID!$A$2:$B$7,2,FALSE)</f>
        <v>#N/A</v>
      </c>
      <c r="K429" s="1" t="str">
        <f>VLOOKUP(AE429,[1]Profile!$A$2:$B$8,2,FALSE)</f>
        <v>License</v>
      </c>
      <c r="M429" s="1" t="str">
        <f>VLOOKUP(Y429,[1]License_Method_ID!$A$2:$B$13,2,FALSE)</f>
        <v>no technical license protection</v>
      </c>
      <c r="N429" s="1" t="s">
        <v>47</v>
      </c>
      <c r="O429" s="1">
        <v>10</v>
      </c>
      <c r="P429" s="1">
        <v>50</v>
      </c>
      <c r="Q429" s="1" t="str">
        <f>VLOOKUP(AB429,[1]Operational_Profit_Type_ID!$A$2:$B$3,2,FALSE)</f>
        <v>Fix rate</v>
      </c>
      <c r="R429" s="1" t="s">
        <v>55</v>
      </c>
      <c r="T429" s="1" t="str">
        <f>VLOOKUP(AD429,[1]UpdateRightID!$A$2:$B$4,2,FALSE)</f>
        <v>none</v>
      </c>
      <c r="U429" s="1" t="s">
        <v>48</v>
      </c>
      <c r="Y429" s="1">
        <v>0</v>
      </c>
      <c r="AB429" s="1">
        <v>1</v>
      </c>
      <c r="AD429" s="1">
        <v>0</v>
      </c>
      <c r="AE429" s="1">
        <v>1</v>
      </c>
    </row>
    <row r="430" spans="2:31" ht="120">
      <c r="B430" s="1" t="s">
        <v>1157</v>
      </c>
      <c r="C430" t="s">
        <v>1158</v>
      </c>
      <c r="D430" s="1" t="s">
        <v>1146</v>
      </c>
      <c r="E430" s="1" t="e">
        <f>VLOOKUP(Z430,[1]LicenseDuration_ID!$A$2:$B$8,2,FALSE)</f>
        <v>#N/A</v>
      </c>
      <c r="F430" s="1" t="e">
        <f>VLOOKUP(AA430,[1]MaintenanceDuration_ID!$A$2:$B$5,2,FALSE)</f>
        <v>#N/A</v>
      </c>
      <c r="G430" s="1" t="e">
        <f>VLOOKUP(V430,[1]ExpectedDeliveryTime_ID!$A$2:$B$12,2,FALSE)</f>
        <v>#N/A</v>
      </c>
      <c r="H430" s="1" t="e">
        <f>VLOOKUP(AC430,[1]PaymentModel_ID!$A$2:$B$7,2,FALSE)</f>
        <v>#N/A</v>
      </c>
      <c r="I430" s="1" t="e">
        <f>VLOOKUP(W430,[1]ExpectedInvoiceDate_ID!$A$2:$B$12,2,FALSE)</f>
        <v>#N/A</v>
      </c>
      <c r="J430" s="1" t="e">
        <f>VLOOKUP(X430,[1]GrantOfRights_ID!$A$2:$B$7,2,FALSE)</f>
        <v>#N/A</v>
      </c>
      <c r="K430" s="1" t="str">
        <f>VLOOKUP(AE430,[1]Profile!$A$2:$B$8,2,FALSE)</f>
        <v>License</v>
      </c>
      <c r="M430" s="1" t="str">
        <f>VLOOKUP(Y430,[1]License_Method_ID!$A$2:$B$13,2,FALSE)</f>
        <v>no technical license protection</v>
      </c>
      <c r="N430" s="1" t="s">
        <v>47</v>
      </c>
      <c r="O430" s="1">
        <v>10</v>
      </c>
      <c r="P430" s="1">
        <v>50</v>
      </c>
      <c r="Q430" s="1" t="str">
        <f>VLOOKUP(AB430,[1]Operational_Profit_Type_ID!$A$2:$B$3,2,FALSE)</f>
        <v>Fix rate</v>
      </c>
      <c r="R430" s="1" t="s">
        <v>55</v>
      </c>
      <c r="T430" s="1" t="str">
        <f>VLOOKUP(AD430,[1]UpdateRightID!$A$2:$B$4,2,FALSE)</f>
        <v>none</v>
      </c>
      <c r="U430" s="1" t="s">
        <v>48</v>
      </c>
      <c r="Y430" s="1">
        <v>0</v>
      </c>
      <c r="AB430" s="1">
        <v>1</v>
      </c>
      <c r="AD430" s="1">
        <v>0</v>
      </c>
      <c r="AE430" s="1">
        <v>1</v>
      </c>
    </row>
    <row r="431" spans="2:31" ht="409.5">
      <c r="B431" s="1" t="s">
        <v>1159</v>
      </c>
      <c r="C431" t="s">
        <v>1160</v>
      </c>
      <c r="D431" s="1" t="s">
        <v>1161</v>
      </c>
      <c r="E431" s="1" t="e">
        <f>VLOOKUP(Z431,[1]LicenseDuration_ID!$A$2:$B$8,2,FALSE)</f>
        <v>#N/A</v>
      </c>
      <c r="F431" s="1" t="e">
        <f>VLOOKUP(AA431,[1]MaintenanceDuration_ID!$A$2:$B$5,2,FALSE)</f>
        <v>#N/A</v>
      </c>
      <c r="G431" s="1" t="e">
        <f>VLOOKUP(V431,[1]ExpectedDeliveryTime_ID!$A$2:$B$12,2,FALSE)</f>
        <v>#N/A</v>
      </c>
      <c r="H431" s="1" t="e">
        <f>VLOOKUP(AC431,[1]PaymentModel_ID!$A$2:$B$7,2,FALSE)</f>
        <v>#N/A</v>
      </c>
      <c r="I431" s="1" t="e">
        <f>VLOOKUP(W431,[1]ExpectedInvoiceDate_ID!$A$2:$B$12,2,FALSE)</f>
        <v>#N/A</v>
      </c>
      <c r="J431" s="1" t="e">
        <f>VLOOKUP(X431,[1]GrantOfRights_ID!$A$2:$B$7,2,FALSE)</f>
        <v>#N/A</v>
      </c>
      <c r="K431" s="1" t="str">
        <f>VLOOKUP(AE431,[1]Profile!$A$2:$B$8,2,FALSE)</f>
        <v>License</v>
      </c>
      <c r="M431" s="1" t="str">
        <f>VLOOKUP(Y431,[1]License_Method_ID!$A$2:$B$13,2,FALSE)</f>
        <v>no technical license protection</v>
      </c>
      <c r="N431" s="1" t="s">
        <v>47</v>
      </c>
      <c r="O431" s="1">
        <v>10</v>
      </c>
      <c r="P431" s="1">
        <v>50</v>
      </c>
      <c r="Q431" s="1" t="str">
        <f>VLOOKUP(AB431,[1]Operational_Profit_Type_ID!$A$2:$B$3,2,FALSE)</f>
        <v>Fix rate</v>
      </c>
      <c r="R431" s="1" t="s">
        <v>55</v>
      </c>
      <c r="T431" s="1" t="str">
        <f>VLOOKUP(AD431,[1]UpdateRightID!$A$2:$B$4,2,FALSE)</f>
        <v>none</v>
      </c>
      <c r="U431" s="1" t="s">
        <v>48</v>
      </c>
      <c r="Y431" s="1">
        <v>0</v>
      </c>
      <c r="AB431" s="1">
        <v>1</v>
      </c>
      <c r="AD431" s="1">
        <v>0</v>
      </c>
      <c r="AE431" s="1">
        <v>1</v>
      </c>
    </row>
    <row r="432" spans="2:31" ht="409.5">
      <c r="B432" s="1" t="s">
        <v>1162</v>
      </c>
      <c r="C432" t="s">
        <v>1163</v>
      </c>
      <c r="D432" s="1" t="s">
        <v>1161</v>
      </c>
      <c r="E432" s="1" t="e">
        <f>VLOOKUP(Z432,[1]LicenseDuration_ID!$A$2:$B$8,2,FALSE)</f>
        <v>#N/A</v>
      </c>
      <c r="F432" s="1" t="e">
        <f>VLOOKUP(AA432,[1]MaintenanceDuration_ID!$A$2:$B$5,2,FALSE)</f>
        <v>#N/A</v>
      </c>
      <c r="G432" s="1" t="e">
        <f>VLOOKUP(V432,[1]ExpectedDeliveryTime_ID!$A$2:$B$12,2,FALSE)</f>
        <v>#N/A</v>
      </c>
      <c r="H432" s="1" t="e">
        <f>VLOOKUP(AC432,[1]PaymentModel_ID!$A$2:$B$7,2,FALSE)</f>
        <v>#N/A</v>
      </c>
      <c r="I432" s="1" t="e">
        <f>VLOOKUP(W432,[1]ExpectedInvoiceDate_ID!$A$2:$B$12,2,FALSE)</f>
        <v>#N/A</v>
      </c>
      <c r="J432" s="1" t="e">
        <f>VLOOKUP(X432,[1]GrantOfRights_ID!$A$2:$B$7,2,FALSE)</f>
        <v>#N/A</v>
      </c>
      <c r="K432" s="1" t="str">
        <f>VLOOKUP(AE432,[1]Profile!$A$2:$B$8,2,FALSE)</f>
        <v>License</v>
      </c>
      <c r="M432" s="1" t="str">
        <f>VLOOKUP(Y432,[1]License_Method_ID!$A$2:$B$13,2,FALSE)</f>
        <v>no technical license protection</v>
      </c>
      <c r="N432" s="1" t="s">
        <v>47</v>
      </c>
      <c r="O432" s="1">
        <v>10</v>
      </c>
      <c r="P432" s="1">
        <v>50</v>
      </c>
      <c r="Q432" s="1" t="str">
        <f>VLOOKUP(AB432,[1]Operational_Profit_Type_ID!$A$2:$B$3,2,FALSE)</f>
        <v>Fix rate</v>
      </c>
      <c r="R432" s="1" t="s">
        <v>55</v>
      </c>
      <c r="T432" s="1" t="str">
        <f>VLOOKUP(AD432,[1]UpdateRightID!$A$2:$B$4,2,FALSE)</f>
        <v>none</v>
      </c>
      <c r="U432" s="1" t="s">
        <v>48</v>
      </c>
      <c r="Y432" s="1">
        <v>0</v>
      </c>
      <c r="AB432" s="1">
        <v>1</v>
      </c>
      <c r="AD432" s="1">
        <v>0</v>
      </c>
      <c r="AE432" s="1">
        <v>1</v>
      </c>
    </row>
    <row r="433" spans="2:31" ht="409.5">
      <c r="B433" s="1" t="s">
        <v>1164</v>
      </c>
      <c r="C433" t="s">
        <v>1165</v>
      </c>
      <c r="D433" s="1" t="s">
        <v>1161</v>
      </c>
      <c r="E433" s="1" t="e">
        <f>VLOOKUP(Z433,[1]LicenseDuration_ID!$A$2:$B$8,2,FALSE)</f>
        <v>#N/A</v>
      </c>
      <c r="F433" s="1" t="e">
        <f>VLOOKUP(AA433,[1]MaintenanceDuration_ID!$A$2:$B$5,2,FALSE)</f>
        <v>#N/A</v>
      </c>
      <c r="G433" s="1" t="e">
        <f>VLOOKUP(V433,[1]ExpectedDeliveryTime_ID!$A$2:$B$12,2,FALSE)</f>
        <v>#N/A</v>
      </c>
      <c r="H433" s="1" t="e">
        <f>VLOOKUP(AC433,[1]PaymentModel_ID!$A$2:$B$7,2,FALSE)</f>
        <v>#N/A</v>
      </c>
      <c r="I433" s="1" t="e">
        <f>VLOOKUP(W433,[1]ExpectedInvoiceDate_ID!$A$2:$B$12,2,FALSE)</f>
        <v>#N/A</v>
      </c>
      <c r="J433" s="1" t="e">
        <f>VLOOKUP(X433,[1]GrantOfRights_ID!$A$2:$B$7,2,FALSE)</f>
        <v>#N/A</v>
      </c>
      <c r="K433" s="1" t="str">
        <f>VLOOKUP(AE433,[1]Profile!$A$2:$B$8,2,FALSE)</f>
        <v>License</v>
      </c>
      <c r="M433" s="1" t="str">
        <f>VLOOKUP(Y433,[1]License_Method_ID!$A$2:$B$13,2,FALSE)</f>
        <v>no technical license protection</v>
      </c>
      <c r="N433" s="1" t="s">
        <v>47</v>
      </c>
      <c r="O433" s="1">
        <v>10</v>
      </c>
      <c r="P433" s="1">
        <v>50</v>
      </c>
      <c r="Q433" s="1" t="str">
        <f>VLOOKUP(AB433,[1]Operational_Profit_Type_ID!$A$2:$B$3,2,FALSE)</f>
        <v>Fix rate</v>
      </c>
      <c r="R433" s="1" t="s">
        <v>55</v>
      </c>
      <c r="T433" s="1" t="str">
        <f>VLOOKUP(AD433,[1]UpdateRightID!$A$2:$B$4,2,FALSE)</f>
        <v>none</v>
      </c>
      <c r="U433" s="1" t="s">
        <v>48</v>
      </c>
      <c r="Y433" s="1">
        <v>0</v>
      </c>
      <c r="AB433" s="1">
        <v>1</v>
      </c>
      <c r="AD433" s="1">
        <v>0</v>
      </c>
      <c r="AE433" s="1">
        <v>1</v>
      </c>
    </row>
    <row r="434" spans="2:31" ht="409.5">
      <c r="B434" s="1" t="s">
        <v>1166</v>
      </c>
      <c r="C434" t="s">
        <v>1167</v>
      </c>
      <c r="D434" s="1" t="s">
        <v>1161</v>
      </c>
      <c r="E434" s="1" t="e">
        <f>VLOOKUP(Z434,[1]LicenseDuration_ID!$A$2:$B$8,2,FALSE)</f>
        <v>#N/A</v>
      </c>
      <c r="F434" s="1" t="e">
        <f>VLOOKUP(AA434,[1]MaintenanceDuration_ID!$A$2:$B$5,2,FALSE)</f>
        <v>#N/A</v>
      </c>
      <c r="G434" s="1" t="e">
        <f>VLOOKUP(V434,[1]ExpectedDeliveryTime_ID!$A$2:$B$12,2,FALSE)</f>
        <v>#N/A</v>
      </c>
      <c r="H434" s="1" t="e">
        <f>VLOOKUP(AC434,[1]PaymentModel_ID!$A$2:$B$7,2,FALSE)</f>
        <v>#N/A</v>
      </c>
      <c r="I434" s="1" t="e">
        <f>VLOOKUP(W434,[1]ExpectedInvoiceDate_ID!$A$2:$B$12,2,FALSE)</f>
        <v>#N/A</v>
      </c>
      <c r="J434" s="1" t="e">
        <f>VLOOKUP(X434,[1]GrantOfRights_ID!$A$2:$B$7,2,FALSE)</f>
        <v>#N/A</v>
      </c>
      <c r="K434" s="1" t="str">
        <f>VLOOKUP(AE434,[1]Profile!$A$2:$B$8,2,FALSE)</f>
        <v>License</v>
      </c>
      <c r="M434" s="1" t="str">
        <f>VLOOKUP(Y434,[1]License_Method_ID!$A$2:$B$13,2,FALSE)</f>
        <v>no technical license protection</v>
      </c>
      <c r="N434" s="1" t="s">
        <v>47</v>
      </c>
      <c r="O434" s="1">
        <v>10</v>
      </c>
      <c r="P434" s="1">
        <v>50</v>
      </c>
      <c r="Q434" s="1" t="str">
        <f>VLOOKUP(AB434,[1]Operational_Profit_Type_ID!$A$2:$B$3,2,FALSE)</f>
        <v>Fix rate</v>
      </c>
      <c r="R434" s="1" t="s">
        <v>55</v>
      </c>
      <c r="T434" s="1" t="str">
        <f>VLOOKUP(AD434,[1]UpdateRightID!$A$2:$B$4,2,FALSE)</f>
        <v>none</v>
      </c>
      <c r="U434" s="1" t="s">
        <v>48</v>
      </c>
      <c r="Y434" s="1">
        <v>0</v>
      </c>
      <c r="AB434" s="1">
        <v>1</v>
      </c>
      <c r="AD434" s="1">
        <v>0</v>
      </c>
      <c r="AE434" s="1">
        <v>1</v>
      </c>
    </row>
    <row r="435" spans="2:31" ht="409.5">
      <c r="B435" s="1" t="s">
        <v>1168</v>
      </c>
      <c r="C435" t="s">
        <v>1169</v>
      </c>
      <c r="D435" s="1" t="s">
        <v>1161</v>
      </c>
      <c r="E435" s="1" t="e">
        <f>VLOOKUP(Z435,[1]LicenseDuration_ID!$A$2:$B$8,2,FALSE)</f>
        <v>#N/A</v>
      </c>
      <c r="F435" s="1" t="e">
        <f>VLOOKUP(AA435,[1]MaintenanceDuration_ID!$A$2:$B$5,2,FALSE)</f>
        <v>#N/A</v>
      </c>
      <c r="G435" s="1" t="e">
        <f>VLOOKUP(V435,[1]ExpectedDeliveryTime_ID!$A$2:$B$12,2,FALSE)</f>
        <v>#N/A</v>
      </c>
      <c r="H435" s="1" t="e">
        <f>VLOOKUP(AC435,[1]PaymentModel_ID!$A$2:$B$7,2,FALSE)</f>
        <v>#N/A</v>
      </c>
      <c r="I435" s="1" t="e">
        <f>VLOOKUP(W435,[1]ExpectedInvoiceDate_ID!$A$2:$B$12,2,FALSE)</f>
        <v>#N/A</v>
      </c>
      <c r="J435" s="1" t="e">
        <f>VLOOKUP(X435,[1]GrantOfRights_ID!$A$2:$B$7,2,FALSE)</f>
        <v>#N/A</v>
      </c>
      <c r="K435" s="1" t="str">
        <f>VLOOKUP(AE435,[1]Profile!$A$2:$B$8,2,FALSE)</f>
        <v>License</v>
      </c>
      <c r="M435" s="1" t="str">
        <f>VLOOKUP(Y435,[1]License_Method_ID!$A$2:$B$13,2,FALSE)</f>
        <v>no technical license protection</v>
      </c>
      <c r="N435" s="1" t="s">
        <v>47</v>
      </c>
      <c r="O435" s="1">
        <v>10</v>
      </c>
      <c r="P435" s="1">
        <v>50</v>
      </c>
      <c r="Q435" s="1" t="str">
        <f>VLOOKUP(AB435,[1]Operational_Profit_Type_ID!$A$2:$B$3,2,FALSE)</f>
        <v>Fix rate</v>
      </c>
      <c r="R435" s="1" t="s">
        <v>55</v>
      </c>
      <c r="T435" s="1" t="str">
        <f>VLOOKUP(AD435,[1]UpdateRightID!$A$2:$B$4,2,FALSE)</f>
        <v>none</v>
      </c>
      <c r="U435" s="1" t="s">
        <v>48</v>
      </c>
      <c r="Y435" s="1">
        <v>0</v>
      </c>
      <c r="AB435" s="1">
        <v>1</v>
      </c>
      <c r="AD435" s="1">
        <v>0</v>
      </c>
      <c r="AE435" s="1">
        <v>1</v>
      </c>
    </row>
    <row r="436" spans="2:31" ht="409.5">
      <c r="B436" s="1" t="s">
        <v>1170</v>
      </c>
      <c r="C436" t="s">
        <v>1171</v>
      </c>
      <c r="D436" s="1" t="s">
        <v>1161</v>
      </c>
      <c r="E436" s="1" t="e">
        <f>VLOOKUP(Z436,[1]LicenseDuration_ID!$A$2:$B$8,2,FALSE)</f>
        <v>#N/A</v>
      </c>
      <c r="F436" s="1" t="e">
        <f>VLOOKUP(AA436,[1]MaintenanceDuration_ID!$A$2:$B$5,2,FALSE)</f>
        <v>#N/A</v>
      </c>
      <c r="G436" s="1" t="e">
        <f>VLOOKUP(V436,[1]ExpectedDeliveryTime_ID!$A$2:$B$12,2,FALSE)</f>
        <v>#N/A</v>
      </c>
      <c r="H436" s="1" t="e">
        <f>VLOOKUP(AC436,[1]PaymentModel_ID!$A$2:$B$7,2,FALSE)</f>
        <v>#N/A</v>
      </c>
      <c r="I436" s="1" t="e">
        <f>VLOOKUP(W436,[1]ExpectedInvoiceDate_ID!$A$2:$B$12,2,FALSE)</f>
        <v>#N/A</v>
      </c>
      <c r="J436" s="1" t="e">
        <f>VLOOKUP(X436,[1]GrantOfRights_ID!$A$2:$B$7,2,FALSE)</f>
        <v>#N/A</v>
      </c>
      <c r="K436" s="1" t="str">
        <f>VLOOKUP(AE436,[1]Profile!$A$2:$B$8,2,FALSE)</f>
        <v>License</v>
      </c>
      <c r="M436" s="1" t="str">
        <f>VLOOKUP(Y436,[1]License_Method_ID!$A$2:$B$13,2,FALSE)</f>
        <v>no technical license protection</v>
      </c>
      <c r="N436" s="1" t="s">
        <v>47</v>
      </c>
      <c r="O436" s="1">
        <v>10</v>
      </c>
      <c r="P436" s="1">
        <v>50</v>
      </c>
      <c r="Q436" s="1" t="str">
        <f>VLOOKUP(AB436,[1]Operational_Profit_Type_ID!$A$2:$B$3,2,FALSE)</f>
        <v>Fix rate</v>
      </c>
      <c r="R436" s="1" t="s">
        <v>55</v>
      </c>
      <c r="T436" s="1" t="str">
        <f>VLOOKUP(AD436,[1]UpdateRightID!$A$2:$B$4,2,FALSE)</f>
        <v>none</v>
      </c>
      <c r="U436" s="1" t="s">
        <v>48</v>
      </c>
      <c r="Y436" s="1">
        <v>0</v>
      </c>
      <c r="AB436" s="1">
        <v>1</v>
      </c>
      <c r="AD436" s="1">
        <v>0</v>
      </c>
      <c r="AE436" s="1">
        <v>1</v>
      </c>
    </row>
    <row r="437" spans="2:31" ht="409.5">
      <c r="B437" s="1" t="s">
        <v>1172</v>
      </c>
      <c r="C437" t="s">
        <v>1139</v>
      </c>
      <c r="D437" s="1" t="s">
        <v>1140</v>
      </c>
      <c r="E437" s="1" t="e">
        <f>VLOOKUP(Z437,[1]LicenseDuration_ID!$A$2:$B$8,2,FALSE)</f>
        <v>#N/A</v>
      </c>
      <c r="F437" s="1" t="e">
        <f>VLOOKUP(AA437,[1]MaintenanceDuration_ID!$A$2:$B$5,2,FALSE)</f>
        <v>#N/A</v>
      </c>
      <c r="G437" s="1" t="e">
        <f>VLOOKUP(V437,[1]ExpectedDeliveryTime_ID!$A$2:$B$12,2,FALSE)</f>
        <v>#N/A</v>
      </c>
      <c r="H437" s="1" t="e">
        <f>VLOOKUP(AC437,[1]PaymentModel_ID!$A$2:$B$7,2,FALSE)</f>
        <v>#N/A</v>
      </c>
      <c r="I437" s="1" t="e">
        <f>VLOOKUP(W437,[1]ExpectedInvoiceDate_ID!$A$2:$B$12,2,FALSE)</f>
        <v>#N/A</v>
      </c>
      <c r="J437" s="1" t="e">
        <f>VLOOKUP(X437,[1]GrantOfRights_ID!$A$2:$B$7,2,FALSE)</f>
        <v>#N/A</v>
      </c>
      <c r="K437" s="1" t="str">
        <f>VLOOKUP(AE437,[1]Profile!$A$2:$B$8,2,FALSE)</f>
        <v>License</v>
      </c>
      <c r="M437" s="1" t="str">
        <f>VLOOKUP(Y437,[1]License_Method_ID!$A$2:$B$13,2,FALSE)</f>
        <v>no technical license protection</v>
      </c>
      <c r="O437" s="1">
        <v>10</v>
      </c>
      <c r="P437" s="1">
        <v>50</v>
      </c>
      <c r="Q437" s="1" t="str">
        <f>VLOOKUP(AB437,[1]Operational_Profit_Type_ID!$A$2:$B$3,2,FALSE)</f>
        <v>Fix rate</v>
      </c>
      <c r="R437" s="1" t="s">
        <v>48</v>
      </c>
      <c r="T437" s="1" t="e">
        <f>VLOOKUP(AD437,[1]UpdateRightID!$A$2:$B$4,2,FALSE)</f>
        <v>#N/A</v>
      </c>
      <c r="U437" s="1" t="s">
        <v>48</v>
      </c>
      <c r="Y437" s="1">
        <v>0</v>
      </c>
      <c r="AB437" s="1">
        <v>1</v>
      </c>
      <c r="AD437" s="1">
        <v>-1</v>
      </c>
      <c r="AE437" s="1">
        <v>1</v>
      </c>
    </row>
    <row r="438" spans="2:31" ht="409.5">
      <c r="B438" s="1" t="s">
        <v>1173</v>
      </c>
      <c r="C438" t="s">
        <v>1174</v>
      </c>
      <c r="D438" s="1" t="s">
        <v>1175</v>
      </c>
      <c r="E438" s="1" t="e">
        <f>VLOOKUP(Z438,[1]LicenseDuration_ID!$A$2:$B$8,2,FALSE)</f>
        <v>#N/A</v>
      </c>
      <c r="F438" s="1" t="e">
        <f>VLOOKUP(AA438,[1]MaintenanceDuration_ID!$A$2:$B$5,2,FALSE)</f>
        <v>#N/A</v>
      </c>
      <c r="G438" s="1" t="e">
        <f>VLOOKUP(V438,[1]ExpectedDeliveryTime_ID!$A$2:$B$12,2,FALSE)</f>
        <v>#N/A</v>
      </c>
      <c r="H438" s="1" t="e">
        <f>VLOOKUP(AC438,[1]PaymentModel_ID!$A$2:$B$7,2,FALSE)</f>
        <v>#N/A</v>
      </c>
      <c r="I438" s="1" t="e">
        <f>VLOOKUP(W438,[1]ExpectedInvoiceDate_ID!$A$2:$B$12,2,FALSE)</f>
        <v>#N/A</v>
      </c>
      <c r="J438" s="1" t="e">
        <f>VLOOKUP(X438,[1]GrantOfRights_ID!$A$2:$B$7,2,FALSE)</f>
        <v>#N/A</v>
      </c>
      <c r="K438" s="1" t="str">
        <f>VLOOKUP(AE438,[1]Profile!$A$2:$B$8,2,FALSE)</f>
        <v>License</v>
      </c>
      <c r="M438" s="1" t="str">
        <f>VLOOKUP(Y438,[1]License_Method_ID!$A$2:$B$13,2,FALSE)</f>
        <v>no technical license protection</v>
      </c>
      <c r="N438" s="1" t="s">
        <v>47</v>
      </c>
      <c r="O438" s="1">
        <v>10</v>
      </c>
      <c r="P438" s="1">
        <v>50</v>
      </c>
      <c r="Q438" s="1" t="str">
        <f>VLOOKUP(AB438,[1]Operational_Profit_Type_ID!$A$2:$B$3,2,FALSE)</f>
        <v>Fix rate</v>
      </c>
      <c r="R438" s="1" t="s">
        <v>48</v>
      </c>
      <c r="T438" s="1" t="str">
        <f>VLOOKUP(AD438,[1]UpdateRightID!$A$2:$B$4,2,FALSE)</f>
        <v>UpdateRightByConfiguration</v>
      </c>
      <c r="U438" s="1" t="s">
        <v>48</v>
      </c>
      <c r="Y438" s="1">
        <v>0</v>
      </c>
      <c r="AB438" s="1">
        <v>1</v>
      </c>
      <c r="AD438" s="1">
        <v>1</v>
      </c>
      <c r="AE438" s="1">
        <v>1</v>
      </c>
    </row>
    <row r="439" spans="2:31" ht="165">
      <c r="B439" s="1" t="s">
        <v>1176</v>
      </c>
      <c r="C439" t="s">
        <v>1177</v>
      </c>
      <c r="D439" s="1" t="s">
        <v>1178</v>
      </c>
      <c r="E439" s="1" t="e">
        <f>VLOOKUP(Z439,[1]LicenseDuration_ID!$A$2:$B$8,2,FALSE)</f>
        <v>#N/A</v>
      </c>
      <c r="F439" s="1" t="e">
        <f>VLOOKUP(AA439,[1]MaintenanceDuration_ID!$A$2:$B$5,2,FALSE)</f>
        <v>#N/A</v>
      </c>
      <c r="G439" s="1" t="e">
        <f>VLOOKUP(V439,[1]ExpectedDeliveryTime_ID!$A$2:$B$12,2,FALSE)</f>
        <v>#N/A</v>
      </c>
      <c r="H439" s="1" t="e">
        <f>VLOOKUP(AC439,[1]PaymentModel_ID!$A$2:$B$7,2,FALSE)</f>
        <v>#N/A</v>
      </c>
      <c r="I439" s="1" t="e">
        <f>VLOOKUP(W439,[1]ExpectedInvoiceDate_ID!$A$2:$B$12,2,FALSE)</f>
        <v>#N/A</v>
      </c>
      <c r="J439" s="1" t="e">
        <f>VLOOKUP(X439,[1]GrantOfRights_ID!$A$2:$B$7,2,FALSE)</f>
        <v>#N/A</v>
      </c>
      <c r="K439" s="1" t="str">
        <f>VLOOKUP(AE439,[1]Profile!$A$2:$B$8,2,FALSE)</f>
        <v>License</v>
      </c>
      <c r="M439" s="1" t="str">
        <f>VLOOKUP(Y439,[1]License_Method_ID!$A$2:$B$13,2,FALSE)</f>
        <v>no technical license protection</v>
      </c>
      <c r="O439" s="1">
        <v>10</v>
      </c>
      <c r="P439" s="1">
        <v>50</v>
      </c>
      <c r="Q439" s="1" t="str">
        <f>VLOOKUP(AB439,[1]Operational_Profit_Type_ID!$A$2:$B$3,2,FALSE)</f>
        <v>Fix rate</v>
      </c>
      <c r="R439" s="1" t="s">
        <v>48</v>
      </c>
      <c r="T439" s="1" t="str">
        <f>VLOOKUP(AD439,[1]UpdateRightID!$A$2:$B$4,2,FALSE)</f>
        <v>none</v>
      </c>
      <c r="U439" s="1" t="s">
        <v>48</v>
      </c>
      <c r="Y439" s="1">
        <v>0</v>
      </c>
      <c r="AB439" s="1">
        <v>1</v>
      </c>
      <c r="AD439" s="1">
        <v>0</v>
      </c>
      <c r="AE439" s="1">
        <v>1</v>
      </c>
    </row>
    <row r="440" spans="2:31" ht="105">
      <c r="B440" s="1" t="s">
        <v>1179</v>
      </c>
      <c r="C440" t="s">
        <v>1180</v>
      </c>
      <c r="D440" s="1" t="s">
        <v>1181</v>
      </c>
      <c r="E440" s="1" t="e">
        <f>VLOOKUP(Z440,[1]LicenseDuration_ID!$A$2:$B$8,2,FALSE)</f>
        <v>#N/A</v>
      </c>
      <c r="F440" s="1" t="e">
        <f>VLOOKUP(AA440,[1]MaintenanceDuration_ID!$A$2:$B$5,2,FALSE)</f>
        <v>#N/A</v>
      </c>
      <c r="G440" s="1" t="e">
        <f>VLOOKUP(V440,[1]ExpectedDeliveryTime_ID!$A$2:$B$12,2,FALSE)</f>
        <v>#N/A</v>
      </c>
      <c r="H440" s="1" t="e">
        <f>VLOOKUP(AC440,[1]PaymentModel_ID!$A$2:$B$7,2,FALSE)</f>
        <v>#N/A</v>
      </c>
      <c r="I440" s="1" t="e">
        <f>VLOOKUP(W440,[1]ExpectedInvoiceDate_ID!$A$2:$B$12,2,FALSE)</f>
        <v>#N/A</v>
      </c>
      <c r="J440" s="1" t="e">
        <f>VLOOKUP(X440,[1]GrantOfRights_ID!$A$2:$B$7,2,FALSE)</f>
        <v>#N/A</v>
      </c>
      <c r="K440" s="1" t="str">
        <f>VLOOKUP(AE440,[1]Profile!$A$2:$B$8,2,FALSE)</f>
        <v>License</v>
      </c>
      <c r="M440" s="1" t="str">
        <f>VLOOKUP(Y440,[1]License_Method_ID!$A$2:$B$13,2,FALSE)</f>
        <v>ADTF Floating License File</v>
      </c>
      <c r="N440" s="1" t="s">
        <v>47</v>
      </c>
      <c r="O440" s="1">
        <v>10</v>
      </c>
      <c r="Q440" s="1" t="str">
        <f>VLOOKUP(AB440,[1]Operational_Profit_Type_ID!$A$2:$B$3,2,FALSE)</f>
        <v>Calculated</v>
      </c>
      <c r="R440" s="1" t="s">
        <v>48</v>
      </c>
      <c r="S440" s="1">
        <v>20</v>
      </c>
      <c r="T440" s="1" t="str">
        <f>VLOOKUP(AD440,[1]UpdateRightID!$A$2:$B$4,2,FALSE)</f>
        <v>none</v>
      </c>
      <c r="U440" s="1" t="s">
        <v>48</v>
      </c>
      <c r="Y440" s="1">
        <v>8</v>
      </c>
      <c r="AB440" s="1">
        <v>2</v>
      </c>
      <c r="AD440" s="1">
        <v>0</v>
      </c>
      <c r="AE440" s="1">
        <v>1</v>
      </c>
    </row>
    <row r="441" spans="2:31" ht="60">
      <c r="B441" s="1" t="s">
        <v>1182</v>
      </c>
      <c r="C441" t="s">
        <v>1183</v>
      </c>
      <c r="D441" s="1" t="s">
        <v>1184</v>
      </c>
      <c r="E441" s="1" t="e">
        <f>VLOOKUP(Z441,[1]LicenseDuration_ID!$A$2:$B$8,2,FALSE)</f>
        <v>#N/A</v>
      </c>
      <c r="F441" s="1" t="e">
        <f>VLOOKUP(AA441,[1]MaintenanceDuration_ID!$A$2:$B$5,2,FALSE)</f>
        <v>#N/A</v>
      </c>
      <c r="G441" s="1" t="e">
        <f>VLOOKUP(V441,[1]ExpectedDeliveryTime_ID!$A$2:$B$12,2,FALSE)</f>
        <v>#N/A</v>
      </c>
      <c r="H441" s="1" t="e">
        <f>VLOOKUP(AC441,[1]PaymentModel_ID!$A$2:$B$7,2,FALSE)</f>
        <v>#N/A</v>
      </c>
      <c r="I441" s="1" t="e">
        <f>VLOOKUP(W441,[1]ExpectedInvoiceDate_ID!$A$2:$B$12,2,FALSE)</f>
        <v>#N/A</v>
      </c>
      <c r="J441" s="1" t="e">
        <f>VLOOKUP(X441,[1]GrantOfRights_ID!$A$2:$B$7,2,FALSE)</f>
        <v>#N/A</v>
      </c>
      <c r="K441" s="1" t="str">
        <f>VLOOKUP(AE441,[1]Profile!$A$2:$B$8,2,FALSE)</f>
        <v>License</v>
      </c>
      <c r="M441" s="1" t="str">
        <f>VLOOKUP(Y441,[1]License_Method_ID!$A$2:$B$13,2,FALSE)</f>
        <v>ADTF Node-Locked License File</v>
      </c>
      <c r="N441" s="1" t="s">
        <v>47</v>
      </c>
      <c r="O441" s="1">
        <v>10</v>
      </c>
      <c r="Q441" s="1" t="str">
        <f>VLOOKUP(AB441,[1]Operational_Profit_Type_ID!$A$2:$B$3,2,FALSE)</f>
        <v>Calculated</v>
      </c>
      <c r="R441" s="1" t="s">
        <v>48</v>
      </c>
      <c r="T441" s="1" t="str">
        <f>VLOOKUP(AD441,[1]UpdateRightID!$A$2:$B$4,2,FALSE)</f>
        <v>none</v>
      </c>
      <c r="U441" s="1" t="s">
        <v>48</v>
      </c>
      <c r="Y441" s="1">
        <v>7</v>
      </c>
      <c r="AB441" s="1">
        <v>2</v>
      </c>
      <c r="AD441" s="1">
        <v>0</v>
      </c>
      <c r="AE441" s="1">
        <v>1</v>
      </c>
    </row>
    <row r="442" spans="2:31" ht="60">
      <c r="B442" s="1" t="s">
        <v>1185</v>
      </c>
      <c r="C442" t="s">
        <v>1186</v>
      </c>
      <c r="D442" s="1" t="s">
        <v>1187</v>
      </c>
      <c r="E442" s="1" t="e">
        <f>VLOOKUP(Z442,[1]LicenseDuration_ID!$A$2:$B$8,2,FALSE)</f>
        <v>#N/A</v>
      </c>
      <c r="F442" s="1" t="e">
        <f>VLOOKUP(AA442,[1]MaintenanceDuration_ID!$A$2:$B$5,2,FALSE)</f>
        <v>#N/A</v>
      </c>
      <c r="G442" s="1" t="e">
        <f>VLOOKUP(V442,[1]ExpectedDeliveryTime_ID!$A$2:$B$12,2,FALSE)</f>
        <v>#N/A</v>
      </c>
      <c r="H442" s="1" t="e">
        <f>VLOOKUP(AC442,[1]PaymentModel_ID!$A$2:$B$7,2,FALSE)</f>
        <v>#N/A</v>
      </c>
      <c r="I442" s="1" t="e">
        <f>VLOOKUP(W442,[1]ExpectedInvoiceDate_ID!$A$2:$B$12,2,FALSE)</f>
        <v>#N/A</v>
      </c>
      <c r="J442" s="1" t="e">
        <f>VLOOKUP(X442,[1]GrantOfRights_ID!$A$2:$B$7,2,FALSE)</f>
        <v>#N/A</v>
      </c>
      <c r="K442" s="1" t="str">
        <f>VLOOKUP(AE442,[1]Profile!$A$2:$B$8,2,FALSE)</f>
        <v>License</v>
      </c>
      <c r="M442" s="1" t="str">
        <f>VLOOKUP(Y442,[1]License_Method_ID!$A$2:$B$13,2,FALSE)</f>
        <v>ADTF Floating License File</v>
      </c>
      <c r="N442" s="1" t="s">
        <v>47</v>
      </c>
      <c r="O442" s="1">
        <v>10</v>
      </c>
      <c r="Q442" s="1" t="str">
        <f>VLOOKUP(AB442,[1]Operational_Profit_Type_ID!$A$2:$B$3,2,FALSE)</f>
        <v>Calculated</v>
      </c>
      <c r="R442" s="1" t="s">
        <v>48</v>
      </c>
      <c r="T442" s="1" t="str">
        <f>VLOOKUP(AD442,[1]UpdateRightID!$A$2:$B$4,2,FALSE)</f>
        <v>none</v>
      </c>
      <c r="U442" s="1" t="s">
        <v>48</v>
      </c>
      <c r="Y442" s="1">
        <v>8</v>
      </c>
      <c r="AB442" s="1">
        <v>2</v>
      </c>
      <c r="AD442" s="1">
        <v>0</v>
      </c>
      <c r="AE442" s="1">
        <v>1</v>
      </c>
    </row>
    <row r="443" spans="2:31" ht="75">
      <c r="B443" s="1" t="s">
        <v>1188</v>
      </c>
      <c r="C443" t="s">
        <v>1189</v>
      </c>
      <c r="D443" s="1" t="s">
        <v>1190</v>
      </c>
      <c r="E443" s="1" t="e">
        <f>VLOOKUP(Z443,[1]LicenseDuration_ID!$A$2:$B$8,2,FALSE)</f>
        <v>#N/A</v>
      </c>
      <c r="F443" s="1" t="e">
        <f>VLOOKUP(AA443,[1]MaintenanceDuration_ID!$A$2:$B$5,2,FALSE)</f>
        <v>#N/A</v>
      </c>
      <c r="G443" s="1" t="e">
        <f>VLOOKUP(V443,[1]ExpectedDeliveryTime_ID!$A$2:$B$12,2,FALSE)</f>
        <v>#N/A</v>
      </c>
      <c r="H443" s="1" t="e">
        <f>VLOOKUP(AC443,[1]PaymentModel_ID!$A$2:$B$7,2,FALSE)</f>
        <v>#N/A</v>
      </c>
      <c r="I443" s="1" t="e">
        <f>VLOOKUP(W443,[1]ExpectedInvoiceDate_ID!$A$2:$B$12,2,FALSE)</f>
        <v>#N/A</v>
      </c>
      <c r="J443" s="1" t="e">
        <f>VLOOKUP(X443,[1]GrantOfRights_ID!$A$2:$B$7,2,FALSE)</f>
        <v>#N/A</v>
      </c>
      <c r="K443" s="1" t="str">
        <f>VLOOKUP(AE443,[1]Profile!$A$2:$B$8,2,FALSE)</f>
        <v>License</v>
      </c>
      <c r="M443" s="1" t="str">
        <f>VLOOKUP(Y443,[1]License_Method_ID!$A$2:$B$13,2,FALSE)</f>
        <v>ADTF Node-Locked License File</v>
      </c>
      <c r="N443" s="1" t="s">
        <v>47</v>
      </c>
      <c r="O443" s="1">
        <v>10</v>
      </c>
      <c r="Q443" s="1" t="str">
        <f>VLOOKUP(AB443,[1]Operational_Profit_Type_ID!$A$2:$B$3,2,FALSE)</f>
        <v>Calculated</v>
      </c>
      <c r="R443" s="1" t="s">
        <v>55</v>
      </c>
      <c r="S443" s="1">
        <v>3</v>
      </c>
      <c r="T443" s="1" t="str">
        <f>VLOOKUP(AD443,[1]UpdateRightID!$A$2:$B$4,2,FALSE)</f>
        <v>none</v>
      </c>
      <c r="U443" s="1" t="s">
        <v>48</v>
      </c>
      <c r="Y443" s="1">
        <v>7</v>
      </c>
      <c r="AB443" s="1">
        <v>2</v>
      </c>
      <c r="AD443" s="1">
        <v>0</v>
      </c>
      <c r="AE443" s="1">
        <v>1</v>
      </c>
    </row>
    <row r="444" spans="2:31" ht="75">
      <c r="B444" s="1" t="s">
        <v>1191</v>
      </c>
      <c r="C444" t="s">
        <v>1192</v>
      </c>
      <c r="D444" s="1" t="s">
        <v>1193</v>
      </c>
      <c r="E444" s="1" t="e">
        <f>VLOOKUP(Z444,[1]LicenseDuration_ID!$A$2:$B$8,2,FALSE)</f>
        <v>#N/A</v>
      </c>
      <c r="F444" s="1" t="e">
        <f>VLOOKUP(AA444,[1]MaintenanceDuration_ID!$A$2:$B$5,2,FALSE)</f>
        <v>#N/A</v>
      </c>
      <c r="G444" s="1" t="e">
        <f>VLOOKUP(V444,[1]ExpectedDeliveryTime_ID!$A$2:$B$12,2,FALSE)</f>
        <v>#N/A</v>
      </c>
      <c r="H444" s="1" t="e">
        <f>VLOOKUP(AC444,[1]PaymentModel_ID!$A$2:$B$7,2,FALSE)</f>
        <v>#N/A</v>
      </c>
      <c r="I444" s="1" t="e">
        <f>VLOOKUP(W444,[1]ExpectedInvoiceDate_ID!$A$2:$B$12,2,FALSE)</f>
        <v>#N/A</v>
      </c>
      <c r="J444" s="1" t="e">
        <f>VLOOKUP(X444,[1]GrantOfRights_ID!$A$2:$B$7,2,FALSE)</f>
        <v>#N/A</v>
      </c>
      <c r="K444" s="1" t="str">
        <f>VLOOKUP(AE444,[1]Profile!$A$2:$B$8,2,FALSE)</f>
        <v>License</v>
      </c>
      <c r="M444" s="1" t="str">
        <f>VLOOKUP(Y444,[1]License_Method_ID!$A$2:$B$13,2,FALSE)</f>
        <v>ADTF Node-Locked License File</v>
      </c>
      <c r="N444" s="1" t="s">
        <v>47</v>
      </c>
      <c r="O444" s="1">
        <v>10</v>
      </c>
      <c r="Q444" s="1" t="str">
        <f>VLOOKUP(AB444,[1]Operational_Profit_Type_ID!$A$2:$B$3,2,FALSE)</f>
        <v>Calculated</v>
      </c>
      <c r="R444" s="1" t="s">
        <v>55</v>
      </c>
      <c r="S444" s="1">
        <v>5</v>
      </c>
      <c r="T444" s="1" t="str">
        <f>VLOOKUP(AD444,[1]UpdateRightID!$A$2:$B$4,2,FALSE)</f>
        <v>none</v>
      </c>
      <c r="U444" s="1" t="s">
        <v>48</v>
      </c>
      <c r="Y444" s="1">
        <v>7</v>
      </c>
      <c r="AB444" s="1">
        <v>2</v>
      </c>
      <c r="AD444" s="1">
        <v>0</v>
      </c>
      <c r="AE444" s="1">
        <v>1</v>
      </c>
    </row>
    <row r="445" spans="2:31" ht="75">
      <c r="B445" s="1" t="s">
        <v>1194</v>
      </c>
      <c r="C445" t="s">
        <v>1195</v>
      </c>
      <c r="D445" s="1" t="s">
        <v>1196</v>
      </c>
      <c r="E445" s="1" t="e">
        <f>VLOOKUP(Z445,[1]LicenseDuration_ID!$A$2:$B$8,2,FALSE)</f>
        <v>#N/A</v>
      </c>
      <c r="F445" s="1" t="e">
        <f>VLOOKUP(AA445,[1]MaintenanceDuration_ID!$A$2:$B$5,2,FALSE)</f>
        <v>#N/A</v>
      </c>
      <c r="G445" s="1" t="e">
        <f>VLOOKUP(V445,[1]ExpectedDeliveryTime_ID!$A$2:$B$12,2,FALSE)</f>
        <v>#N/A</v>
      </c>
      <c r="H445" s="1" t="e">
        <f>VLOOKUP(AC445,[1]PaymentModel_ID!$A$2:$B$7,2,FALSE)</f>
        <v>#N/A</v>
      </c>
      <c r="I445" s="1" t="e">
        <f>VLOOKUP(W445,[1]ExpectedInvoiceDate_ID!$A$2:$B$12,2,FALSE)</f>
        <v>#N/A</v>
      </c>
      <c r="J445" s="1" t="e">
        <f>VLOOKUP(X445,[1]GrantOfRights_ID!$A$2:$B$7,2,FALSE)</f>
        <v>#N/A</v>
      </c>
      <c r="K445" s="1" t="str">
        <f>VLOOKUP(AE445,[1]Profile!$A$2:$B$8,2,FALSE)</f>
        <v>License</v>
      </c>
      <c r="M445" s="1" t="str">
        <f>VLOOKUP(Y445,[1]License_Method_ID!$A$2:$B$13,2,FALSE)</f>
        <v>ADTF Node-Locked License File</v>
      </c>
      <c r="N445" s="1" t="s">
        <v>47</v>
      </c>
      <c r="O445" s="1">
        <v>10</v>
      </c>
      <c r="Q445" s="1" t="str">
        <f>VLOOKUP(AB445,[1]Operational_Profit_Type_ID!$A$2:$B$3,2,FALSE)</f>
        <v>Calculated</v>
      </c>
      <c r="R445" s="1" t="s">
        <v>55</v>
      </c>
      <c r="S445" s="1">
        <v>10</v>
      </c>
      <c r="T445" s="1" t="str">
        <f>VLOOKUP(AD445,[1]UpdateRightID!$A$2:$B$4,2,FALSE)</f>
        <v>none</v>
      </c>
      <c r="U445" s="1" t="s">
        <v>48</v>
      </c>
      <c r="Y445" s="1">
        <v>7</v>
      </c>
      <c r="AB445" s="1">
        <v>2</v>
      </c>
      <c r="AD445" s="1">
        <v>0</v>
      </c>
      <c r="AE445" s="1">
        <v>1</v>
      </c>
    </row>
    <row r="446" spans="2:31" ht="45">
      <c r="B446" s="1" t="s">
        <v>1197</v>
      </c>
      <c r="C446" t="s">
        <v>1198</v>
      </c>
      <c r="D446" s="1" t="s">
        <v>1199</v>
      </c>
      <c r="E446" s="1" t="e">
        <f>VLOOKUP(Z446,[1]LicenseDuration_ID!$A$2:$B$8,2,FALSE)</f>
        <v>#N/A</v>
      </c>
      <c r="F446" s="1" t="e">
        <f>VLOOKUP(AA446,[1]MaintenanceDuration_ID!$A$2:$B$5,2,FALSE)</f>
        <v>#N/A</v>
      </c>
      <c r="G446" s="1" t="e">
        <f>VLOOKUP(V446,[1]ExpectedDeliveryTime_ID!$A$2:$B$12,2,FALSE)</f>
        <v>#N/A</v>
      </c>
      <c r="H446" s="1" t="e">
        <f>VLOOKUP(AC446,[1]PaymentModel_ID!$A$2:$B$7,2,FALSE)</f>
        <v>#N/A</v>
      </c>
      <c r="I446" s="1" t="e">
        <f>VLOOKUP(W446,[1]ExpectedInvoiceDate_ID!$A$2:$B$12,2,FALSE)</f>
        <v>#N/A</v>
      </c>
      <c r="J446" s="1" t="e">
        <f>VLOOKUP(X446,[1]GrantOfRights_ID!$A$2:$B$7,2,FALSE)</f>
        <v>#N/A</v>
      </c>
      <c r="K446" s="1" t="str">
        <f>VLOOKUP(AE446,[1]Profile!$A$2:$B$8,2,FALSE)</f>
        <v>License</v>
      </c>
      <c r="M446" s="1" t="str">
        <f>VLOOKUP(Y446,[1]License_Method_ID!$A$2:$B$13,2,FALSE)</f>
        <v>ADTF Node-Locked License File</v>
      </c>
      <c r="N446" s="1" t="s">
        <v>47</v>
      </c>
      <c r="O446" s="1">
        <v>10</v>
      </c>
      <c r="Q446" s="1" t="str">
        <f>VLOOKUP(AB446,[1]Operational_Profit_Type_ID!$A$2:$B$3,2,FALSE)</f>
        <v>Calculated</v>
      </c>
      <c r="R446" s="1" t="s">
        <v>55</v>
      </c>
      <c r="T446" s="1" t="str">
        <f>VLOOKUP(AD446,[1]UpdateRightID!$A$2:$B$4,2,FALSE)</f>
        <v>none</v>
      </c>
      <c r="U446" s="1" t="s">
        <v>48</v>
      </c>
      <c r="Y446" s="1">
        <v>7</v>
      </c>
      <c r="AB446" s="1">
        <v>2</v>
      </c>
      <c r="AD446" s="1">
        <v>0</v>
      </c>
      <c r="AE446" s="1">
        <v>1</v>
      </c>
    </row>
    <row r="447" spans="2:31" ht="45">
      <c r="B447" s="1" t="s">
        <v>1200</v>
      </c>
      <c r="C447" t="s">
        <v>1201</v>
      </c>
      <c r="D447" s="1" t="s">
        <v>1199</v>
      </c>
      <c r="E447" s="1" t="e">
        <f>VLOOKUP(Z447,[1]LicenseDuration_ID!$A$2:$B$8,2,FALSE)</f>
        <v>#N/A</v>
      </c>
      <c r="F447" s="1" t="e">
        <f>VLOOKUP(AA447,[1]MaintenanceDuration_ID!$A$2:$B$5,2,FALSE)</f>
        <v>#N/A</v>
      </c>
      <c r="G447" s="1" t="e">
        <f>VLOOKUP(V447,[1]ExpectedDeliveryTime_ID!$A$2:$B$12,2,FALSE)</f>
        <v>#N/A</v>
      </c>
      <c r="H447" s="1" t="e">
        <f>VLOOKUP(AC447,[1]PaymentModel_ID!$A$2:$B$7,2,FALSE)</f>
        <v>#N/A</v>
      </c>
      <c r="I447" s="1" t="e">
        <f>VLOOKUP(W447,[1]ExpectedInvoiceDate_ID!$A$2:$B$12,2,FALSE)</f>
        <v>#N/A</v>
      </c>
      <c r="J447" s="1" t="e">
        <f>VLOOKUP(X447,[1]GrantOfRights_ID!$A$2:$B$7,2,FALSE)</f>
        <v>#N/A</v>
      </c>
      <c r="K447" s="1" t="str">
        <f>VLOOKUP(AE447,[1]Profile!$A$2:$B$8,2,FALSE)</f>
        <v>License</v>
      </c>
      <c r="M447" s="1" t="str">
        <f>VLOOKUP(Y447,[1]License_Method_ID!$A$2:$B$13,2,FALSE)</f>
        <v>ADTF Node-Locked License File</v>
      </c>
      <c r="N447" s="1" t="s">
        <v>47</v>
      </c>
      <c r="O447" s="1">
        <v>10</v>
      </c>
      <c r="Q447" s="1" t="str">
        <f>VLOOKUP(AB447,[1]Operational_Profit_Type_ID!$A$2:$B$3,2,FALSE)</f>
        <v>Calculated</v>
      </c>
      <c r="R447" s="1" t="s">
        <v>55</v>
      </c>
      <c r="T447" s="1" t="str">
        <f>VLOOKUP(AD447,[1]UpdateRightID!$A$2:$B$4,2,FALSE)</f>
        <v>none</v>
      </c>
      <c r="U447" s="1" t="s">
        <v>48</v>
      </c>
      <c r="Y447" s="1">
        <v>7</v>
      </c>
      <c r="AB447" s="1">
        <v>2</v>
      </c>
      <c r="AD447" s="1">
        <v>0</v>
      </c>
      <c r="AE447" s="1">
        <v>1</v>
      </c>
    </row>
    <row r="448" spans="2:31" ht="45">
      <c r="B448" s="1" t="s">
        <v>1202</v>
      </c>
      <c r="C448" t="s">
        <v>1203</v>
      </c>
      <c r="D448" s="1" t="s">
        <v>1199</v>
      </c>
      <c r="E448" s="1" t="e">
        <f>VLOOKUP(Z448,[1]LicenseDuration_ID!$A$2:$B$8,2,FALSE)</f>
        <v>#N/A</v>
      </c>
      <c r="F448" s="1" t="e">
        <f>VLOOKUP(AA448,[1]MaintenanceDuration_ID!$A$2:$B$5,2,FALSE)</f>
        <v>#N/A</v>
      </c>
      <c r="G448" s="1" t="e">
        <f>VLOOKUP(V448,[1]ExpectedDeliveryTime_ID!$A$2:$B$12,2,FALSE)</f>
        <v>#N/A</v>
      </c>
      <c r="H448" s="1" t="e">
        <f>VLOOKUP(AC448,[1]PaymentModel_ID!$A$2:$B$7,2,FALSE)</f>
        <v>#N/A</v>
      </c>
      <c r="I448" s="1" t="e">
        <f>VLOOKUP(W448,[1]ExpectedInvoiceDate_ID!$A$2:$B$12,2,FALSE)</f>
        <v>#N/A</v>
      </c>
      <c r="J448" s="1" t="e">
        <f>VLOOKUP(X448,[1]GrantOfRights_ID!$A$2:$B$7,2,FALSE)</f>
        <v>#N/A</v>
      </c>
      <c r="K448" s="1" t="str">
        <f>VLOOKUP(AE448,[1]Profile!$A$2:$B$8,2,FALSE)</f>
        <v>License</v>
      </c>
      <c r="M448" s="1" t="str">
        <f>VLOOKUP(Y448,[1]License_Method_ID!$A$2:$B$13,2,FALSE)</f>
        <v>ADTF Node-Locked License File</v>
      </c>
      <c r="N448" s="1" t="s">
        <v>47</v>
      </c>
      <c r="O448" s="1">
        <v>10</v>
      </c>
      <c r="Q448" s="1" t="str">
        <f>VLOOKUP(AB448,[1]Operational_Profit_Type_ID!$A$2:$B$3,2,FALSE)</f>
        <v>Calculated</v>
      </c>
      <c r="R448" s="1" t="s">
        <v>55</v>
      </c>
      <c r="T448" s="1" t="str">
        <f>VLOOKUP(AD448,[1]UpdateRightID!$A$2:$B$4,2,FALSE)</f>
        <v>none</v>
      </c>
      <c r="U448" s="1" t="s">
        <v>48</v>
      </c>
      <c r="Y448" s="1">
        <v>7</v>
      </c>
      <c r="AB448" s="1">
        <v>2</v>
      </c>
      <c r="AD448" s="1">
        <v>0</v>
      </c>
      <c r="AE448" s="1">
        <v>1</v>
      </c>
    </row>
    <row r="449" spans="1:31" ht="30">
      <c r="B449" s="1" t="s">
        <v>1204</v>
      </c>
      <c r="C449" t="s">
        <v>1205</v>
      </c>
      <c r="D449" s="1" t="s">
        <v>1003</v>
      </c>
      <c r="E449" s="1" t="e">
        <f>VLOOKUP(Z449,[1]LicenseDuration_ID!$A$2:$B$8,2,FALSE)</f>
        <v>#N/A</v>
      </c>
      <c r="F449" s="1" t="e">
        <f>VLOOKUP(AA449,[1]MaintenanceDuration_ID!$A$2:$B$5,2,FALSE)</f>
        <v>#N/A</v>
      </c>
      <c r="G449" s="1" t="e">
        <f>VLOOKUP(V449,[1]ExpectedDeliveryTime_ID!$A$2:$B$12,2,FALSE)</f>
        <v>#N/A</v>
      </c>
      <c r="H449" s="1" t="e">
        <f>VLOOKUP(AC449,[1]PaymentModel_ID!$A$2:$B$7,2,FALSE)</f>
        <v>#N/A</v>
      </c>
      <c r="I449" s="1" t="e">
        <f>VLOOKUP(W449,[1]ExpectedInvoiceDate_ID!$A$2:$B$12,2,FALSE)</f>
        <v>#N/A</v>
      </c>
      <c r="J449" s="1" t="e">
        <f>VLOOKUP(X449,[1]GrantOfRights_ID!$A$2:$B$7,2,FALSE)</f>
        <v>#N/A</v>
      </c>
      <c r="K449" s="1" t="str">
        <f>VLOOKUP(AE449,[1]Profile!$A$2:$B$8,2,FALSE)</f>
        <v>License</v>
      </c>
      <c r="M449" s="1" t="str">
        <f>VLOOKUP(Y449,[1]License_Method_ID!$A$2:$B$13,2,FALSE)</f>
        <v>ADTF Node-Locked License File</v>
      </c>
      <c r="N449" s="1" t="s">
        <v>47</v>
      </c>
      <c r="O449" s="1">
        <v>10</v>
      </c>
      <c r="Q449" s="1" t="str">
        <f>VLOOKUP(AB449,[1]Operational_Profit_Type_ID!$A$2:$B$3,2,FALSE)</f>
        <v>Calculated</v>
      </c>
      <c r="R449" s="1" t="s">
        <v>48</v>
      </c>
      <c r="T449" s="1" t="str">
        <f>VLOOKUP(AD449,[1]UpdateRightID!$A$2:$B$4,2,FALSE)</f>
        <v>none</v>
      </c>
      <c r="U449" s="1" t="s">
        <v>48</v>
      </c>
      <c r="Y449" s="1">
        <v>7</v>
      </c>
      <c r="AB449" s="1">
        <v>2</v>
      </c>
      <c r="AD449" s="1">
        <v>0</v>
      </c>
      <c r="AE449" s="1">
        <v>1</v>
      </c>
    </row>
    <row r="450" spans="1:31" ht="30">
      <c r="B450" s="1" t="s">
        <v>1206</v>
      </c>
      <c r="C450" t="s">
        <v>1207</v>
      </c>
      <c r="D450" s="1" t="s">
        <v>1208</v>
      </c>
      <c r="E450" s="1" t="e">
        <f>VLOOKUP(Z450,[1]LicenseDuration_ID!$A$2:$B$8,2,FALSE)</f>
        <v>#N/A</v>
      </c>
      <c r="F450" s="1" t="e">
        <f>VLOOKUP(AA450,[1]MaintenanceDuration_ID!$A$2:$B$5,2,FALSE)</f>
        <v>#N/A</v>
      </c>
      <c r="G450" s="1" t="e">
        <f>VLOOKUP(V450,[1]ExpectedDeliveryTime_ID!$A$2:$B$12,2,FALSE)</f>
        <v>#N/A</v>
      </c>
      <c r="H450" s="1" t="e">
        <f>VLOOKUP(AC450,[1]PaymentModel_ID!$A$2:$B$7,2,FALSE)</f>
        <v>#N/A</v>
      </c>
      <c r="I450" s="1" t="e">
        <f>VLOOKUP(W450,[1]ExpectedInvoiceDate_ID!$A$2:$B$12,2,FALSE)</f>
        <v>#N/A</v>
      </c>
      <c r="J450" s="1" t="e">
        <f>VLOOKUP(X450,[1]GrantOfRights_ID!$A$2:$B$7,2,FALSE)</f>
        <v>#N/A</v>
      </c>
      <c r="K450" s="1" t="str">
        <f>VLOOKUP(AE450,[1]Profile!$A$2:$B$8,2,FALSE)</f>
        <v>License</v>
      </c>
      <c r="M450" s="1" t="str">
        <f>VLOOKUP(Y450,[1]License_Method_ID!$A$2:$B$13,2,FALSE)</f>
        <v>ADTF Floating License File</v>
      </c>
      <c r="N450" s="1" t="s">
        <v>47</v>
      </c>
      <c r="O450" s="1">
        <v>10</v>
      </c>
      <c r="Q450" s="1" t="str">
        <f>VLOOKUP(AB450,[1]Operational_Profit_Type_ID!$A$2:$B$3,2,FALSE)</f>
        <v>Calculated</v>
      </c>
      <c r="R450" s="1" t="s">
        <v>48</v>
      </c>
      <c r="T450" s="1" t="str">
        <f>VLOOKUP(AD450,[1]UpdateRightID!$A$2:$B$4,2,FALSE)</f>
        <v>none</v>
      </c>
      <c r="U450" s="1" t="s">
        <v>48</v>
      </c>
      <c r="Y450" s="1">
        <v>8</v>
      </c>
      <c r="AB450" s="1">
        <v>2</v>
      </c>
      <c r="AD450" s="1">
        <v>0</v>
      </c>
      <c r="AE450" s="1">
        <v>1</v>
      </c>
    </row>
    <row r="451" spans="1:31" ht="30">
      <c r="B451" s="1" t="s">
        <v>1209</v>
      </c>
      <c r="C451" t="s">
        <v>1210</v>
      </c>
      <c r="D451" s="1" t="s">
        <v>1211</v>
      </c>
      <c r="E451" s="1" t="e">
        <f>VLOOKUP(Z451,[1]LicenseDuration_ID!$A$2:$B$8,2,FALSE)</f>
        <v>#N/A</v>
      </c>
      <c r="F451" s="1" t="e">
        <f>VLOOKUP(AA451,[1]MaintenanceDuration_ID!$A$2:$B$5,2,FALSE)</f>
        <v>#N/A</v>
      </c>
      <c r="G451" s="1" t="e">
        <f>VLOOKUP(V451,[1]ExpectedDeliveryTime_ID!$A$2:$B$12,2,FALSE)</f>
        <v>#N/A</v>
      </c>
      <c r="H451" s="1" t="e">
        <f>VLOOKUP(AC451,[1]PaymentModel_ID!$A$2:$B$7,2,FALSE)</f>
        <v>#N/A</v>
      </c>
      <c r="I451" s="1" t="e">
        <f>VLOOKUP(W451,[1]ExpectedInvoiceDate_ID!$A$2:$B$12,2,FALSE)</f>
        <v>#N/A</v>
      </c>
      <c r="J451" s="1" t="e">
        <f>VLOOKUP(X451,[1]GrantOfRights_ID!$A$2:$B$7,2,FALSE)</f>
        <v>#N/A</v>
      </c>
      <c r="K451" s="1" t="str">
        <f>VLOOKUP(AE451,[1]Profile!$A$2:$B$8,2,FALSE)</f>
        <v>License</v>
      </c>
      <c r="M451" s="1" t="str">
        <f>VLOOKUP(Y451,[1]License_Method_ID!$A$2:$B$13,2,FALSE)</f>
        <v>ADTF Node-Locked License File</v>
      </c>
      <c r="N451" s="1" t="s">
        <v>47</v>
      </c>
      <c r="O451" s="1">
        <v>10</v>
      </c>
      <c r="Q451" s="1" t="str">
        <f>VLOOKUP(AB451,[1]Operational_Profit_Type_ID!$A$2:$B$3,2,FALSE)</f>
        <v>Calculated</v>
      </c>
      <c r="R451" s="1" t="s">
        <v>48</v>
      </c>
      <c r="T451" s="1" t="str">
        <f>VLOOKUP(AD451,[1]UpdateRightID!$A$2:$B$4,2,FALSE)</f>
        <v>none</v>
      </c>
      <c r="U451" s="1" t="s">
        <v>48</v>
      </c>
      <c r="Y451" s="1">
        <v>7</v>
      </c>
      <c r="AB451" s="1">
        <v>2</v>
      </c>
      <c r="AD451" s="1">
        <v>0</v>
      </c>
      <c r="AE451" s="1">
        <v>1</v>
      </c>
    </row>
    <row r="452" spans="1:31" ht="30">
      <c r="B452" s="1" t="s">
        <v>1212</v>
      </c>
      <c r="C452" t="s">
        <v>1213</v>
      </c>
      <c r="D452" s="1" t="s">
        <v>1214</v>
      </c>
      <c r="E452" s="1" t="e">
        <f>VLOOKUP(Z452,[1]LicenseDuration_ID!$A$2:$B$8,2,FALSE)</f>
        <v>#N/A</v>
      </c>
      <c r="F452" s="1" t="e">
        <f>VLOOKUP(AA452,[1]MaintenanceDuration_ID!$A$2:$B$5,2,FALSE)</f>
        <v>#N/A</v>
      </c>
      <c r="G452" s="1" t="e">
        <f>VLOOKUP(V452,[1]ExpectedDeliveryTime_ID!$A$2:$B$12,2,FALSE)</f>
        <v>#N/A</v>
      </c>
      <c r="H452" s="1" t="e">
        <f>VLOOKUP(AC452,[1]PaymentModel_ID!$A$2:$B$7,2,FALSE)</f>
        <v>#N/A</v>
      </c>
      <c r="I452" s="1" t="e">
        <f>VLOOKUP(W452,[1]ExpectedInvoiceDate_ID!$A$2:$B$12,2,FALSE)</f>
        <v>#N/A</v>
      </c>
      <c r="J452" s="1" t="e">
        <f>VLOOKUP(X452,[1]GrantOfRights_ID!$A$2:$B$7,2,FALSE)</f>
        <v>#N/A</v>
      </c>
      <c r="K452" s="1" t="str">
        <f>VLOOKUP(AE452,[1]Profile!$A$2:$B$8,2,FALSE)</f>
        <v>License</v>
      </c>
      <c r="M452" s="1" t="str">
        <f>VLOOKUP(Y452,[1]License_Method_ID!$A$2:$B$13,2,FALSE)</f>
        <v>ADTF Floating License File</v>
      </c>
      <c r="N452" s="1" t="s">
        <v>47</v>
      </c>
      <c r="O452" s="1">
        <v>10</v>
      </c>
      <c r="Q452" s="1" t="str">
        <f>VLOOKUP(AB452,[1]Operational_Profit_Type_ID!$A$2:$B$3,2,FALSE)</f>
        <v>Calculated</v>
      </c>
      <c r="R452" s="1" t="s">
        <v>48</v>
      </c>
      <c r="T452" s="1" t="str">
        <f>VLOOKUP(AD452,[1]UpdateRightID!$A$2:$B$4,2,FALSE)</f>
        <v>none</v>
      </c>
      <c r="U452" s="1" t="s">
        <v>48</v>
      </c>
      <c r="Y452" s="1">
        <v>8</v>
      </c>
      <c r="AB452" s="1">
        <v>2</v>
      </c>
      <c r="AD452" s="1">
        <v>0</v>
      </c>
      <c r="AE452" s="1">
        <v>1</v>
      </c>
    </row>
    <row r="453" spans="1:31" ht="105">
      <c r="B453" s="1" t="s">
        <v>1215</v>
      </c>
      <c r="C453" t="s">
        <v>1216</v>
      </c>
      <c r="D453" s="1" t="s">
        <v>1217</v>
      </c>
      <c r="E453" s="1" t="e">
        <f>VLOOKUP(Z453,[1]LicenseDuration_ID!$A$2:$B$8,2,FALSE)</f>
        <v>#N/A</v>
      </c>
      <c r="F453" s="1" t="e">
        <f>VLOOKUP(AA453,[1]MaintenanceDuration_ID!$A$2:$B$5,2,FALSE)</f>
        <v>#N/A</v>
      </c>
      <c r="G453" s="1" t="e">
        <f>VLOOKUP(V453,[1]ExpectedDeliveryTime_ID!$A$2:$B$12,2,FALSE)</f>
        <v>#N/A</v>
      </c>
      <c r="H453" s="1" t="e">
        <f>VLOOKUP(AC453,[1]PaymentModel_ID!$A$2:$B$7,2,FALSE)</f>
        <v>#N/A</v>
      </c>
      <c r="I453" s="1" t="e">
        <f>VLOOKUP(W453,[1]ExpectedInvoiceDate_ID!$A$2:$B$12,2,FALSE)</f>
        <v>#N/A</v>
      </c>
      <c r="J453" s="1" t="e">
        <f>VLOOKUP(X453,[1]GrantOfRights_ID!$A$2:$B$7,2,FALSE)</f>
        <v>#N/A</v>
      </c>
      <c r="K453" s="1" t="str">
        <f>VLOOKUP(AE453,[1]Profile!$A$2:$B$8,2,FALSE)</f>
        <v>License</v>
      </c>
      <c r="M453" s="1" t="str">
        <f>VLOOKUP(Y453,[1]License_Method_ID!$A$2:$B$13,2,FALSE)</f>
        <v>ADTF Node-Locked License File</v>
      </c>
      <c r="N453" s="1" t="s">
        <v>47</v>
      </c>
      <c r="O453" s="1">
        <v>10</v>
      </c>
      <c r="Q453" s="1" t="str">
        <f>VLOOKUP(AB453,[1]Operational_Profit_Type_ID!$A$2:$B$3,2,FALSE)</f>
        <v>Calculated</v>
      </c>
      <c r="R453" s="1" t="s">
        <v>48</v>
      </c>
      <c r="S453" s="1">
        <v>20</v>
      </c>
      <c r="T453" s="1" t="str">
        <f>VLOOKUP(AD453,[1]UpdateRightID!$A$2:$B$4,2,FALSE)</f>
        <v>none</v>
      </c>
      <c r="U453" s="1" t="s">
        <v>48</v>
      </c>
      <c r="Y453" s="1">
        <v>7</v>
      </c>
      <c r="AB453" s="1">
        <v>2</v>
      </c>
      <c r="AD453" s="1">
        <v>0</v>
      </c>
      <c r="AE453" s="1">
        <v>1</v>
      </c>
    </row>
    <row r="454" spans="1:31" ht="120">
      <c r="A454" s="1" t="s">
        <v>43</v>
      </c>
      <c r="B454" s="1" t="s">
        <v>1218</v>
      </c>
      <c r="C454" t="s">
        <v>1219</v>
      </c>
      <c r="D454" s="1" t="s">
        <v>1220</v>
      </c>
      <c r="E454" s="1" t="str">
        <f>VLOOKUP(Z454,[1]LicenseDuration_ID!$A$2:$B$8,2,FALSE)</f>
        <v>perpetual</v>
      </c>
      <c r="F454" s="1" t="str">
        <f>VLOOKUP(AA454,[1]MaintenanceDuration_ID!$A$2:$B$5,2,FALSE)</f>
        <v>12 months</v>
      </c>
      <c r="G454" s="1" t="str">
        <f>VLOOKUP(V454,[1]ExpectedDeliveryTime_ID!$A$2:$B$12,2,FALSE)</f>
        <v>FINALIZED PURCHASE PROCESS + 2 weeks</v>
      </c>
      <c r="H454" s="1" t="str">
        <f>VLOOKUP(AC454,[1]PaymentModel_ID!$A$2:$B$7,2,FALSE)</f>
        <v>One-time payment</v>
      </c>
      <c r="I454" s="1" t="str">
        <f>VLOOKUP(W454,[1]ExpectedInvoiceDate_ID!$A$2:$B$12,2,FALSE)</f>
        <v>With FINAL DELIVERY</v>
      </c>
      <c r="J454" s="1" t="str">
        <f>VLOOKUP(X454,[1]GrantOfRights_ID!$A$2:$B$7,2,FALSE)</f>
        <v>n/a</v>
      </c>
      <c r="K454" s="1" t="str">
        <f>VLOOKUP(AE454,[1]Profile!$A$2:$B$8,2,FALSE)</f>
        <v>License</v>
      </c>
      <c r="M454" s="1" t="str">
        <f>VLOOKUP(Y454,[1]License_Method_ID!$A$2:$B$13,2,FALSE)</f>
        <v>FlexNet Publisher Application Activation Code</v>
      </c>
      <c r="N454" s="1" t="s">
        <v>47</v>
      </c>
      <c r="O454" s="1">
        <v>10</v>
      </c>
      <c r="Q454" s="1" t="str">
        <f>VLOOKUP(AB454,[1]Operational_Profit_Type_ID!$A$2:$B$3,2,FALSE)</f>
        <v>Calculated</v>
      </c>
      <c r="R454" s="1" t="s">
        <v>48</v>
      </c>
      <c r="S454" s="1">
        <v>10</v>
      </c>
      <c r="T454" s="1" t="str">
        <f>VLOOKUP(AD454,[1]UpdateRightID!$A$2:$B$4,2,FALSE)</f>
        <v>UpdateRightByConfiguration</v>
      </c>
      <c r="U454" s="1" t="s">
        <v>48</v>
      </c>
      <c r="V454" s="1">
        <v>2</v>
      </c>
      <c r="W454" s="1">
        <v>7</v>
      </c>
      <c r="X454" s="1">
        <v>1</v>
      </c>
      <c r="Y454" s="1">
        <v>1</v>
      </c>
      <c r="Z454" s="1">
        <v>6</v>
      </c>
      <c r="AA454" s="1">
        <v>3</v>
      </c>
      <c r="AB454" s="1">
        <v>2</v>
      </c>
      <c r="AC454" s="1">
        <v>2</v>
      </c>
      <c r="AD454" s="1">
        <v>1</v>
      </c>
      <c r="AE454" s="1">
        <v>1</v>
      </c>
    </row>
    <row r="455" spans="1:31" ht="135">
      <c r="A455" s="1" t="s">
        <v>43</v>
      </c>
      <c r="B455" s="1" t="s">
        <v>1221</v>
      </c>
      <c r="C455" t="s">
        <v>1222</v>
      </c>
      <c r="D455" s="1" t="s">
        <v>1223</v>
      </c>
      <c r="E455" s="1" t="str">
        <f>VLOOKUP(Z455,[1]LicenseDuration_ID!$A$2:$B$8,2,FALSE)</f>
        <v>n/a</v>
      </c>
      <c r="F455" s="1" t="str">
        <f>VLOOKUP(AA455,[1]MaintenanceDuration_ID!$A$2:$B$5,2,FALSE)</f>
        <v>12 months</v>
      </c>
      <c r="G455" s="1" t="str">
        <f>VLOOKUP(V455,[1]ExpectedDeliveryTime_ID!$A$2:$B$12,2,FALSE)</f>
        <v>n/a</v>
      </c>
      <c r="H455" s="1" t="str">
        <f>VLOOKUP(AC455,[1]PaymentModel_ID!$A$2:$B$7,2,FALSE)</f>
        <v>Annual payment</v>
      </c>
      <c r="I455" s="1" t="str">
        <f>VLOOKUP(W455,[1]ExpectedInvoiceDate_ID!$A$2:$B$12,2,FALSE)</f>
        <v>Anually at the beginning of the extended period</v>
      </c>
      <c r="J455" s="1" t="str">
        <f>VLOOKUP(X455,[1]GrantOfRights_ID!$A$2:$B$7,2,FALSE)</f>
        <v>n/a</v>
      </c>
      <c r="K455" s="1" t="str">
        <f>VLOOKUP(AE455,[1]Profile!$A$2:$B$8,2,FALSE)</f>
        <v>License</v>
      </c>
      <c r="M455" s="1" t="str">
        <f>VLOOKUP(Y455,[1]License_Method_ID!$A$2:$B$13,2,FALSE)</f>
        <v>FlexNet Publisher Application Activation Code</v>
      </c>
      <c r="N455" s="1" t="s">
        <v>47</v>
      </c>
      <c r="O455" s="1">
        <v>10</v>
      </c>
      <c r="Q455" s="1" t="str">
        <f>VLOOKUP(AB455,[1]Operational_Profit_Type_ID!$A$2:$B$3,2,FALSE)</f>
        <v>Calculated</v>
      </c>
      <c r="R455" s="1" t="s">
        <v>55</v>
      </c>
      <c r="S455" s="1">
        <v>10</v>
      </c>
      <c r="T455" s="1" t="str">
        <f>VLOOKUP(AD455,[1]UpdateRightID!$A$2:$B$4,2,FALSE)</f>
        <v>TotalAmountAsUpdateRight</v>
      </c>
      <c r="U455" s="1" t="s">
        <v>48</v>
      </c>
      <c r="V455" s="1">
        <v>1</v>
      </c>
      <c r="W455" s="1">
        <v>2</v>
      </c>
      <c r="X455" s="1">
        <v>1</v>
      </c>
      <c r="Y455" s="1">
        <v>1</v>
      </c>
      <c r="Z455" s="1">
        <v>1</v>
      </c>
      <c r="AA455" s="1">
        <v>3</v>
      </c>
      <c r="AB455" s="1">
        <v>2</v>
      </c>
      <c r="AC455" s="1">
        <v>3</v>
      </c>
      <c r="AD455" s="1">
        <v>2</v>
      </c>
      <c r="AE455" s="1">
        <v>1</v>
      </c>
    </row>
    <row r="456" spans="1:31" ht="120">
      <c r="A456" s="1" t="s">
        <v>43</v>
      </c>
      <c r="B456" s="1" t="s">
        <v>1224</v>
      </c>
      <c r="C456" t="s">
        <v>1225</v>
      </c>
      <c r="D456" s="1" t="s">
        <v>1226</v>
      </c>
      <c r="E456" s="1" t="str">
        <f>VLOOKUP(Z456,[1]LicenseDuration_ID!$A$2:$B$8,2,FALSE)</f>
        <v>perpetual</v>
      </c>
      <c r="F456" s="1" t="str">
        <f>VLOOKUP(AA456,[1]MaintenanceDuration_ID!$A$2:$B$5,2,FALSE)</f>
        <v>12 months</v>
      </c>
      <c r="G456" s="1" t="str">
        <f>VLOOKUP(V456,[1]ExpectedDeliveryTime_ID!$A$2:$B$12,2,FALSE)</f>
        <v>FINALIZED PURCHASE PROCESS + 2 weeks</v>
      </c>
      <c r="H456" s="1" t="str">
        <f>VLOOKUP(AC456,[1]PaymentModel_ID!$A$2:$B$7,2,FALSE)</f>
        <v>One-time payment</v>
      </c>
      <c r="I456" s="1" t="str">
        <f>VLOOKUP(W456,[1]ExpectedInvoiceDate_ID!$A$2:$B$12,2,FALSE)</f>
        <v>With FINAL DELIVERY</v>
      </c>
      <c r="J456" s="1" t="str">
        <f>VLOOKUP(X456,[1]GrantOfRights_ID!$A$2:$B$7,2,FALSE)</f>
        <v>n/a</v>
      </c>
      <c r="K456" s="1" t="str">
        <f>VLOOKUP(AE456,[1]Profile!$A$2:$B$8,2,FALSE)</f>
        <v>License</v>
      </c>
      <c r="M456" s="1" t="str">
        <f>VLOOKUP(Y456,[1]License_Method_ID!$A$2:$B$13,2,FALSE)</f>
        <v>FlexNet Publisher Server Activation Code</v>
      </c>
      <c r="N456" s="1" t="s">
        <v>47</v>
      </c>
      <c r="O456" s="1">
        <v>10</v>
      </c>
      <c r="Q456" s="1" t="str">
        <f>VLOOKUP(AB456,[1]Operational_Profit_Type_ID!$A$2:$B$3,2,FALSE)</f>
        <v>Calculated</v>
      </c>
      <c r="R456" s="1" t="s">
        <v>48</v>
      </c>
      <c r="S456" s="1">
        <v>10</v>
      </c>
      <c r="T456" s="1" t="str">
        <f>VLOOKUP(AD456,[1]UpdateRightID!$A$2:$B$4,2,FALSE)</f>
        <v>UpdateRightByConfiguration</v>
      </c>
      <c r="U456" s="1" t="s">
        <v>48</v>
      </c>
      <c r="V456" s="1">
        <v>2</v>
      </c>
      <c r="W456" s="1">
        <v>7</v>
      </c>
      <c r="X456" s="1">
        <v>1</v>
      </c>
      <c r="Y456" s="1">
        <v>2</v>
      </c>
      <c r="Z456" s="1">
        <v>6</v>
      </c>
      <c r="AA456" s="1">
        <v>3</v>
      </c>
      <c r="AB456" s="1">
        <v>2</v>
      </c>
      <c r="AC456" s="1">
        <v>2</v>
      </c>
      <c r="AD456" s="1">
        <v>1</v>
      </c>
      <c r="AE456" s="1">
        <v>1</v>
      </c>
    </row>
    <row r="457" spans="1:31" ht="135">
      <c r="A457" s="1" t="s">
        <v>43</v>
      </c>
      <c r="B457" s="1" t="s">
        <v>1227</v>
      </c>
      <c r="C457" t="s">
        <v>1228</v>
      </c>
      <c r="D457" s="1" t="s">
        <v>1229</v>
      </c>
      <c r="E457" s="1" t="str">
        <f>VLOOKUP(Z457,[1]LicenseDuration_ID!$A$2:$B$8,2,FALSE)</f>
        <v>n/a</v>
      </c>
      <c r="F457" s="1" t="str">
        <f>VLOOKUP(AA457,[1]MaintenanceDuration_ID!$A$2:$B$5,2,FALSE)</f>
        <v>12 months</v>
      </c>
      <c r="G457" s="1" t="str">
        <f>VLOOKUP(V457,[1]ExpectedDeliveryTime_ID!$A$2:$B$12,2,FALSE)</f>
        <v>n/a</v>
      </c>
      <c r="H457" s="1" t="str">
        <f>VLOOKUP(AC457,[1]PaymentModel_ID!$A$2:$B$7,2,FALSE)</f>
        <v>Annual payment</v>
      </c>
      <c r="I457" s="1" t="str">
        <f>VLOOKUP(W457,[1]ExpectedInvoiceDate_ID!$A$2:$B$12,2,FALSE)</f>
        <v>Anually at the beginning of the extended period</v>
      </c>
      <c r="J457" s="1" t="str">
        <f>VLOOKUP(X457,[1]GrantOfRights_ID!$A$2:$B$7,2,FALSE)</f>
        <v>n/a</v>
      </c>
      <c r="K457" s="1" t="str">
        <f>VLOOKUP(AE457,[1]Profile!$A$2:$B$8,2,FALSE)</f>
        <v>License</v>
      </c>
      <c r="M457" s="1" t="str">
        <f>VLOOKUP(Y457,[1]License_Method_ID!$A$2:$B$13,2,FALSE)</f>
        <v>FlexNet Publisher Server Activation Code</v>
      </c>
      <c r="N457" s="1" t="s">
        <v>47</v>
      </c>
      <c r="O457" s="1">
        <v>10</v>
      </c>
      <c r="Q457" s="1" t="str">
        <f>VLOOKUP(AB457,[1]Operational_Profit_Type_ID!$A$2:$B$3,2,FALSE)</f>
        <v>Calculated</v>
      </c>
      <c r="R457" s="1" t="s">
        <v>55</v>
      </c>
      <c r="S457" s="1">
        <v>10</v>
      </c>
      <c r="T457" s="1" t="str">
        <f>VLOOKUP(AD457,[1]UpdateRightID!$A$2:$B$4,2,FALSE)</f>
        <v>TotalAmountAsUpdateRight</v>
      </c>
      <c r="U457" s="1" t="s">
        <v>48</v>
      </c>
      <c r="V457" s="1">
        <v>1</v>
      </c>
      <c r="W457" s="1">
        <v>2</v>
      </c>
      <c r="X457" s="1">
        <v>1</v>
      </c>
      <c r="Y457" s="1">
        <v>2</v>
      </c>
      <c r="Z457" s="1">
        <v>1</v>
      </c>
      <c r="AA457" s="1">
        <v>3</v>
      </c>
      <c r="AB457" s="1">
        <v>2</v>
      </c>
      <c r="AC457" s="1">
        <v>3</v>
      </c>
      <c r="AD457" s="1">
        <v>2</v>
      </c>
      <c r="AE457" s="1">
        <v>1</v>
      </c>
    </row>
    <row r="458" spans="1:31" ht="60">
      <c r="A458" s="1" t="s">
        <v>43</v>
      </c>
      <c r="B458" s="1" t="s">
        <v>1230</v>
      </c>
      <c r="C458" t="s">
        <v>1231</v>
      </c>
      <c r="D458" s="1" t="s">
        <v>1232</v>
      </c>
      <c r="E458" s="1" t="str">
        <f>VLOOKUP(Z458,[1]LicenseDuration_ID!$A$2:$B$8,2,FALSE)</f>
        <v>perpetual</v>
      </c>
      <c r="F458" s="1" t="str">
        <f>VLOOKUP(AA458,[1]MaintenanceDuration_ID!$A$2:$B$5,2,FALSE)</f>
        <v>12 months</v>
      </c>
      <c r="G458" s="1" t="str">
        <f>VLOOKUP(V458,[1]ExpectedDeliveryTime_ID!$A$2:$B$12,2,FALSE)</f>
        <v>FINALIZED PURCHASE PROCESS + 2 weeks</v>
      </c>
      <c r="H458" s="1" t="str">
        <f>VLOOKUP(AC458,[1]PaymentModel_ID!$A$2:$B$7,2,FALSE)</f>
        <v>One-time payment</v>
      </c>
      <c r="I458" s="1" t="str">
        <f>VLOOKUP(W458,[1]ExpectedInvoiceDate_ID!$A$2:$B$12,2,FALSE)</f>
        <v>With FINAL DELIVERY</v>
      </c>
      <c r="J458" s="1" t="str">
        <f>VLOOKUP(X458,[1]GrantOfRights_ID!$A$2:$B$7,2,FALSE)</f>
        <v>n/a</v>
      </c>
      <c r="K458" s="1" t="str">
        <f>VLOOKUP(AE458,[1]Profile!$A$2:$B$8,2,FALSE)</f>
        <v>License</v>
      </c>
      <c r="M458" s="1" t="str">
        <f>VLOOKUP(Y458,[1]License_Method_ID!$A$2:$B$13,2,FALSE)</f>
        <v>FlexNet Publisher Application Activation Code</v>
      </c>
      <c r="N458" s="1" t="s">
        <v>47</v>
      </c>
      <c r="O458" s="1">
        <v>10</v>
      </c>
      <c r="Q458" s="1" t="str">
        <f>VLOOKUP(AB458,[1]Operational_Profit_Type_ID!$A$2:$B$3,2,FALSE)</f>
        <v>Calculated</v>
      </c>
      <c r="R458" s="1" t="s">
        <v>48</v>
      </c>
      <c r="T458" s="1" t="str">
        <f>VLOOKUP(AD458,[1]UpdateRightID!$A$2:$B$4,2,FALSE)</f>
        <v>UpdateRightByConfiguration</v>
      </c>
      <c r="U458" s="1" t="s">
        <v>48</v>
      </c>
      <c r="V458" s="1">
        <v>2</v>
      </c>
      <c r="W458" s="1">
        <v>7</v>
      </c>
      <c r="X458" s="1">
        <v>1</v>
      </c>
      <c r="Y458" s="1">
        <v>1</v>
      </c>
      <c r="Z458" s="1">
        <v>6</v>
      </c>
      <c r="AA458" s="1">
        <v>3</v>
      </c>
      <c r="AB458" s="1">
        <v>2</v>
      </c>
      <c r="AC458" s="1">
        <v>2</v>
      </c>
      <c r="AD458" s="1">
        <v>1</v>
      </c>
      <c r="AE458" s="1">
        <v>1</v>
      </c>
    </row>
    <row r="459" spans="1:31" ht="90">
      <c r="A459" s="1" t="s">
        <v>43</v>
      </c>
      <c r="B459" s="1" t="s">
        <v>1233</v>
      </c>
      <c r="C459" t="s">
        <v>1234</v>
      </c>
      <c r="D459" s="1" t="s">
        <v>1235</v>
      </c>
      <c r="E459" s="1" t="str">
        <f>VLOOKUP(Z459,[1]LicenseDuration_ID!$A$2:$B$8,2,FALSE)</f>
        <v>n/a</v>
      </c>
      <c r="F459" s="1" t="str">
        <f>VLOOKUP(AA459,[1]MaintenanceDuration_ID!$A$2:$B$5,2,FALSE)</f>
        <v>12 months</v>
      </c>
      <c r="G459" s="1" t="str">
        <f>VLOOKUP(V459,[1]ExpectedDeliveryTime_ID!$A$2:$B$12,2,FALSE)</f>
        <v>n/a</v>
      </c>
      <c r="H459" s="1" t="str">
        <f>VLOOKUP(AC459,[1]PaymentModel_ID!$A$2:$B$7,2,FALSE)</f>
        <v>Annual payment</v>
      </c>
      <c r="I459" s="1" t="str">
        <f>VLOOKUP(W459,[1]ExpectedInvoiceDate_ID!$A$2:$B$12,2,FALSE)</f>
        <v>Anually at the beginning of the extended period</v>
      </c>
      <c r="J459" s="1" t="str">
        <f>VLOOKUP(X459,[1]GrantOfRights_ID!$A$2:$B$7,2,FALSE)</f>
        <v>n/a</v>
      </c>
      <c r="K459" s="1" t="str">
        <f>VLOOKUP(AE459,[1]Profile!$A$2:$B$8,2,FALSE)</f>
        <v>License</v>
      </c>
      <c r="M459" s="1" t="str">
        <f>VLOOKUP(Y459,[1]License_Method_ID!$A$2:$B$13,2,FALSE)</f>
        <v>FlexNet Publisher Application Activation Code</v>
      </c>
      <c r="N459" s="1" t="s">
        <v>47</v>
      </c>
      <c r="O459" s="1">
        <v>10</v>
      </c>
      <c r="Q459" s="1" t="str">
        <f>VLOOKUP(AB459,[1]Operational_Profit_Type_ID!$A$2:$B$3,2,FALSE)</f>
        <v>Calculated</v>
      </c>
      <c r="R459" s="1" t="s">
        <v>55</v>
      </c>
      <c r="T459" s="1" t="str">
        <f>VLOOKUP(AD459,[1]UpdateRightID!$A$2:$B$4,2,FALSE)</f>
        <v>TotalAmountAsUpdateRight</v>
      </c>
      <c r="U459" s="1" t="s">
        <v>48</v>
      </c>
      <c r="V459" s="1">
        <v>1</v>
      </c>
      <c r="W459" s="1">
        <v>2</v>
      </c>
      <c r="X459" s="1">
        <v>1</v>
      </c>
      <c r="Y459" s="1">
        <v>1</v>
      </c>
      <c r="Z459" s="1">
        <v>1</v>
      </c>
      <c r="AA459" s="1">
        <v>3</v>
      </c>
      <c r="AB459" s="1">
        <v>2</v>
      </c>
      <c r="AC459" s="1">
        <v>3</v>
      </c>
      <c r="AD459" s="1">
        <v>2</v>
      </c>
      <c r="AE459" s="1">
        <v>1</v>
      </c>
    </row>
    <row r="460" spans="1:31" ht="75">
      <c r="A460" s="1" t="s">
        <v>43</v>
      </c>
      <c r="B460" s="1" t="s">
        <v>1236</v>
      </c>
      <c r="C460" t="s">
        <v>1237</v>
      </c>
      <c r="D460" s="1" t="s">
        <v>1238</v>
      </c>
      <c r="E460" s="1" t="str">
        <f>VLOOKUP(Z460,[1]LicenseDuration_ID!$A$2:$B$8,2,FALSE)</f>
        <v>perpetual</v>
      </c>
      <c r="F460" s="1" t="str">
        <f>VLOOKUP(AA460,[1]MaintenanceDuration_ID!$A$2:$B$5,2,FALSE)</f>
        <v>12 months</v>
      </c>
      <c r="G460" s="1" t="str">
        <f>VLOOKUP(V460,[1]ExpectedDeliveryTime_ID!$A$2:$B$12,2,FALSE)</f>
        <v>FINALIZED PURCHASE PROCESS + 2 weeks</v>
      </c>
      <c r="H460" s="1" t="str">
        <f>VLOOKUP(AC460,[1]PaymentModel_ID!$A$2:$B$7,2,FALSE)</f>
        <v>One-time payment</v>
      </c>
      <c r="I460" s="1" t="str">
        <f>VLOOKUP(W460,[1]ExpectedInvoiceDate_ID!$A$2:$B$12,2,FALSE)</f>
        <v>With FINAL DELIVERY</v>
      </c>
      <c r="J460" s="1" t="str">
        <f>VLOOKUP(X460,[1]GrantOfRights_ID!$A$2:$B$7,2,FALSE)</f>
        <v>n/a</v>
      </c>
      <c r="K460" s="1" t="str">
        <f>VLOOKUP(AE460,[1]Profile!$A$2:$B$8,2,FALSE)</f>
        <v>License</v>
      </c>
      <c r="M460" s="1" t="str">
        <f>VLOOKUP(Y460,[1]License_Method_ID!$A$2:$B$13,2,FALSE)</f>
        <v>FlexNet Publisher Server Activation Code</v>
      </c>
      <c r="N460" s="1" t="s">
        <v>47</v>
      </c>
      <c r="O460" s="1">
        <v>10</v>
      </c>
      <c r="Q460" s="1" t="str">
        <f>VLOOKUP(AB460,[1]Operational_Profit_Type_ID!$A$2:$B$3,2,FALSE)</f>
        <v>Calculated</v>
      </c>
      <c r="R460" s="1" t="s">
        <v>48</v>
      </c>
      <c r="T460" s="1" t="str">
        <f>VLOOKUP(AD460,[1]UpdateRightID!$A$2:$B$4,2,FALSE)</f>
        <v>UpdateRightByConfiguration</v>
      </c>
      <c r="U460" s="1" t="s">
        <v>48</v>
      </c>
      <c r="V460" s="1">
        <v>2</v>
      </c>
      <c r="W460" s="1">
        <v>7</v>
      </c>
      <c r="X460" s="1">
        <v>1</v>
      </c>
      <c r="Y460" s="1">
        <v>2</v>
      </c>
      <c r="Z460" s="1">
        <v>6</v>
      </c>
      <c r="AA460" s="1">
        <v>3</v>
      </c>
      <c r="AB460" s="1">
        <v>2</v>
      </c>
      <c r="AC460" s="1">
        <v>2</v>
      </c>
      <c r="AD460" s="1">
        <v>1</v>
      </c>
      <c r="AE460" s="1">
        <v>1</v>
      </c>
    </row>
    <row r="461" spans="1:31" ht="90">
      <c r="A461" s="1" t="s">
        <v>43</v>
      </c>
      <c r="B461" s="1" t="s">
        <v>1239</v>
      </c>
      <c r="C461" t="s">
        <v>1240</v>
      </c>
      <c r="D461" s="1" t="s">
        <v>1241</v>
      </c>
      <c r="E461" s="1" t="str">
        <f>VLOOKUP(Z461,[1]LicenseDuration_ID!$A$2:$B$8,2,FALSE)</f>
        <v>n/a</v>
      </c>
      <c r="F461" s="1" t="str">
        <f>VLOOKUP(AA461,[1]MaintenanceDuration_ID!$A$2:$B$5,2,FALSE)</f>
        <v>12 months</v>
      </c>
      <c r="G461" s="1" t="str">
        <f>VLOOKUP(V461,[1]ExpectedDeliveryTime_ID!$A$2:$B$12,2,FALSE)</f>
        <v>n/a</v>
      </c>
      <c r="H461" s="1" t="str">
        <f>VLOOKUP(AC461,[1]PaymentModel_ID!$A$2:$B$7,2,FALSE)</f>
        <v>Annual payment</v>
      </c>
      <c r="I461" s="1" t="str">
        <f>VLOOKUP(W461,[1]ExpectedInvoiceDate_ID!$A$2:$B$12,2,FALSE)</f>
        <v>Anually at the beginning of the extended period</v>
      </c>
      <c r="J461" s="1" t="str">
        <f>VLOOKUP(X461,[1]GrantOfRights_ID!$A$2:$B$7,2,FALSE)</f>
        <v>n/a</v>
      </c>
      <c r="K461" s="1" t="str">
        <f>VLOOKUP(AE461,[1]Profile!$A$2:$B$8,2,FALSE)</f>
        <v>License</v>
      </c>
      <c r="M461" s="1" t="str">
        <f>VLOOKUP(Y461,[1]License_Method_ID!$A$2:$B$13,2,FALSE)</f>
        <v>FlexNet Publisher Server Activation Code</v>
      </c>
      <c r="N461" s="1" t="s">
        <v>47</v>
      </c>
      <c r="O461" s="1">
        <v>10</v>
      </c>
      <c r="Q461" s="1" t="str">
        <f>VLOOKUP(AB461,[1]Operational_Profit_Type_ID!$A$2:$B$3,2,FALSE)</f>
        <v>Calculated</v>
      </c>
      <c r="R461" s="1" t="s">
        <v>55</v>
      </c>
      <c r="T461" s="1" t="str">
        <f>VLOOKUP(AD461,[1]UpdateRightID!$A$2:$B$4,2,FALSE)</f>
        <v>TotalAmountAsUpdateRight</v>
      </c>
      <c r="U461" s="1" t="s">
        <v>48</v>
      </c>
      <c r="V461" s="1">
        <v>1</v>
      </c>
      <c r="W461" s="1">
        <v>2</v>
      </c>
      <c r="X461" s="1">
        <v>1</v>
      </c>
      <c r="Y461" s="1">
        <v>2</v>
      </c>
      <c r="Z461" s="1">
        <v>1</v>
      </c>
      <c r="AA461" s="1">
        <v>3</v>
      </c>
      <c r="AB461" s="1">
        <v>2</v>
      </c>
      <c r="AC461" s="1">
        <v>3</v>
      </c>
      <c r="AD461" s="1">
        <v>2</v>
      </c>
      <c r="AE461" s="1">
        <v>1</v>
      </c>
    </row>
    <row r="462" spans="1:31" ht="135">
      <c r="B462" s="1" t="s">
        <v>1242</v>
      </c>
      <c r="C462" t="s">
        <v>1243</v>
      </c>
      <c r="D462" s="1" t="s">
        <v>1244</v>
      </c>
      <c r="E462" s="1" t="e">
        <f>VLOOKUP(Z462,[1]LicenseDuration_ID!$A$2:$B$8,2,FALSE)</f>
        <v>#N/A</v>
      </c>
      <c r="F462" s="1" t="e">
        <f>VLOOKUP(AA462,[1]MaintenanceDuration_ID!$A$2:$B$5,2,FALSE)</f>
        <v>#N/A</v>
      </c>
      <c r="G462" s="1" t="e">
        <f>VLOOKUP(V462,[1]ExpectedDeliveryTime_ID!$A$2:$B$12,2,FALSE)</f>
        <v>#N/A</v>
      </c>
      <c r="H462" s="1" t="e">
        <f>VLOOKUP(AC462,[1]PaymentModel_ID!$A$2:$B$7,2,FALSE)</f>
        <v>#N/A</v>
      </c>
      <c r="I462" s="1" t="e">
        <f>VLOOKUP(W462,[1]ExpectedInvoiceDate_ID!$A$2:$B$12,2,FALSE)</f>
        <v>#N/A</v>
      </c>
      <c r="J462" s="1" t="e">
        <f>VLOOKUP(X462,[1]GrantOfRights_ID!$A$2:$B$7,2,FALSE)</f>
        <v>#N/A</v>
      </c>
      <c r="K462" s="1" t="str">
        <f>VLOOKUP(AE462,[1]Profile!$A$2:$B$8,2,FALSE)</f>
        <v>License</v>
      </c>
      <c r="M462" s="1" t="str">
        <f>VLOOKUP(Y462,[1]License_Method_ID!$A$2:$B$13,2,FALSE)</f>
        <v>ADTF Node-Locked License File</v>
      </c>
      <c r="N462" s="1" t="s">
        <v>47</v>
      </c>
      <c r="O462" s="1">
        <v>10</v>
      </c>
      <c r="Q462" s="1" t="str">
        <f>VLOOKUP(AB462,[1]Operational_Profit_Type_ID!$A$2:$B$3,2,FALSE)</f>
        <v>Calculated</v>
      </c>
      <c r="R462" s="1" t="s">
        <v>48</v>
      </c>
      <c r="T462" s="1" t="str">
        <f>VLOOKUP(AD462,[1]UpdateRightID!$A$2:$B$4,2,FALSE)</f>
        <v>TotalAmountAsUpdateRight</v>
      </c>
      <c r="U462" s="1" t="s">
        <v>48</v>
      </c>
      <c r="Y462" s="1">
        <v>7</v>
      </c>
      <c r="AB462" s="1">
        <v>2</v>
      </c>
      <c r="AD462" s="1">
        <v>2</v>
      </c>
      <c r="AE462" s="1">
        <v>1</v>
      </c>
    </row>
    <row r="463" spans="1:31" ht="135">
      <c r="B463" s="1" t="s">
        <v>1245</v>
      </c>
      <c r="C463" t="s">
        <v>1246</v>
      </c>
      <c r="D463" s="1" t="s">
        <v>1247</v>
      </c>
      <c r="E463" s="1" t="e">
        <f>VLOOKUP(Z463,[1]LicenseDuration_ID!$A$2:$B$8,2,FALSE)</f>
        <v>#N/A</v>
      </c>
      <c r="F463" s="1" t="e">
        <f>VLOOKUP(AA463,[1]MaintenanceDuration_ID!$A$2:$B$5,2,FALSE)</f>
        <v>#N/A</v>
      </c>
      <c r="G463" s="1" t="e">
        <f>VLOOKUP(V463,[1]ExpectedDeliveryTime_ID!$A$2:$B$12,2,FALSE)</f>
        <v>#N/A</v>
      </c>
      <c r="H463" s="1" t="e">
        <f>VLOOKUP(AC463,[1]PaymentModel_ID!$A$2:$B$7,2,FALSE)</f>
        <v>#N/A</v>
      </c>
      <c r="I463" s="1" t="e">
        <f>VLOOKUP(W463,[1]ExpectedInvoiceDate_ID!$A$2:$B$12,2,FALSE)</f>
        <v>#N/A</v>
      </c>
      <c r="J463" s="1" t="e">
        <f>VLOOKUP(X463,[1]GrantOfRights_ID!$A$2:$B$7,2,FALSE)</f>
        <v>#N/A</v>
      </c>
      <c r="K463" s="1" t="str">
        <f>VLOOKUP(AE463,[1]Profile!$A$2:$B$8,2,FALSE)</f>
        <v>License</v>
      </c>
      <c r="M463" s="1" t="str">
        <f>VLOOKUP(Y463,[1]License_Method_ID!$A$2:$B$13,2,FALSE)</f>
        <v>ADTF Floating License File</v>
      </c>
      <c r="N463" s="1" t="s">
        <v>47</v>
      </c>
      <c r="O463" s="1">
        <v>10</v>
      </c>
      <c r="Q463" s="1" t="str">
        <f>VLOOKUP(AB463,[1]Operational_Profit_Type_ID!$A$2:$B$3,2,FALSE)</f>
        <v>Calculated</v>
      </c>
      <c r="R463" s="1" t="s">
        <v>48</v>
      </c>
      <c r="T463" s="1" t="str">
        <f>VLOOKUP(AD463,[1]UpdateRightID!$A$2:$B$4,2,FALSE)</f>
        <v>TotalAmountAsUpdateRight</v>
      </c>
      <c r="U463" s="1" t="s">
        <v>48</v>
      </c>
      <c r="Y463" s="1">
        <v>8</v>
      </c>
      <c r="AB463" s="1">
        <v>2</v>
      </c>
      <c r="AD463" s="1">
        <v>2</v>
      </c>
      <c r="AE463" s="1">
        <v>1</v>
      </c>
    </row>
    <row r="464" spans="1:31" ht="135">
      <c r="B464" s="1" t="s">
        <v>1248</v>
      </c>
      <c r="C464" t="s">
        <v>1249</v>
      </c>
      <c r="D464" s="1" t="s">
        <v>1247</v>
      </c>
      <c r="E464" s="1" t="e">
        <f>VLOOKUP(Z464,[1]LicenseDuration_ID!$A$2:$B$8,2,FALSE)</f>
        <v>#N/A</v>
      </c>
      <c r="F464" s="1" t="e">
        <f>VLOOKUP(AA464,[1]MaintenanceDuration_ID!$A$2:$B$5,2,FALSE)</f>
        <v>#N/A</v>
      </c>
      <c r="G464" s="1" t="e">
        <f>VLOOKUP(V464,[1]ExpectedDeliveryTime_ID!$A$2:$B$12,2,FALSE)</f>
        <v>#N/A</v>
      </c>
      <c r="H464" s="1" t="e">
        <f>VLOOKUP(AC464,[1]PaymentModel_ID!$A$2:$B$7,2,FALSE)</f>
        <v>#N/A</v>
      </c>
      <c r="I464" s="1" t="e">
        <f>VLOOKUP(W464,[1]ExpectedInvoiceDate_ID!$A$2:$B$12,2,FALSE)</f>
        <v>#N/A</v>
      </c>
      <c r="J464" s="1" t="e">
        <f>VLOOKUP(X464,[1]GrantOfRights_ID!$A$2:$B$7,2,FALSE)</f>
        <v>#N/A</v>
      </c>
      <c r="K464" s="1" t="str">
        <f>VLOOKUP(AE464,[1]Profile!$A$2:$B$8,2,FALSE)</f>
        <v>License</v>
      </c>
      <c r="M464" s="1" t="str">
        <f>VLOOKUP(Y464,[1]License_Method_ID!$A$2:$B$13,2,FALSE)</f>
        <v>ADTF Floating License File</v>
      </c>
      <c r="N464" s="1" t="s">
        <v>47</v>
      </c>
      <c r="O464" s="1">
        <v>10</v>
      </c>
      <c r="Q464" s="1" t="str">
        <f>VLOOKUP(AB464,[1]Operational_Profit_Type_ID!$A$2:$B$3,2,FALSE)</f>
        <v>Calculated</v>
      </c>
      <c r="R464" s="1" t="s">
        <v>48</v>
      </c>
      <c r="T464" s="1" t="str">
        <f>VLOOKUP(AD464,[1]UpdateRightID!$A$2:$B$4,2,FALSE)</f>
        <v>TotalAmountAsUpdateRight</v>
      </c>
      <c r="U464" s="1" t="s">
        <v>48</v>
      </c>
      <c r="Y464" s="1">
        <v>8</v>
      </c>
      <c r="AB464" s="1">
        <v>2</v>
      </c>
      <c r="AD464" s="1">
        <v>2</v>
      </c>
      <c r="AE464" s="1">
        <v>1</v>
      </c>
    </row>
    <row r="465" spans="1:31" ht="240">
      <c r="B465" s="1" t="s">
        <v>1250</v>
      </c>
      <c r="C465" t="s">
        <v>1251</v>
      </c>
      <c r="D465" s="1" t="s">
        <v>1252</v>
      </c>
      <c r="E465" s="1" t="e">
        <f>VLOOKUP(Z465,[1]LicenseDuration_ID!$A$2:$B$8,2,FALSE)</f>
        <v>#N/A</v>
      </c>
      <c r="F465" s="1" t="e">
        <f>VLOOKUP(AA465,[1]MaintenanceDuration_ID!$A$2:$B$5,2,FALSE)</f>
        <v>#N/A</v>
      </c>
      <c r="G465" s="1" t="e">
        <f>VLOOKUP(V465,[1]ExpectedDeliveryTime_ID!$A$2:$B$12,2,FALSE)</f>
        <v>#N/A</v>
      </c>
      <c r="H465" s="1" t="e">
        <f>VLOOKUP(AC465,[1]PaymentModel_ID!$A$2:$B$7,2,FALSE)</f>
        <v>#N/A</v>
      </c>
      <c r="I465" s="1" t="e">
        <f>VLOOKUP(W465,[1]ExpectedInvoiceDate_ID!$A$2:$B$12,2,FALSE)</f>
        <v>#N/A</v>
      </c>
      <c r="J465" s="1" t="e">
        <f>VLOOKUP(X465,[1]GrantOfRights_ID!$A$2:$B$7,2,FALSE)</f>
        <v>#N/A</v>
      </c>
      <c r="K465" s="1" t="str">
        <f>VLOOKUP(AE465,[1]Profile!$A$2:$B$8,2,FALSE)</f>
        <v>License</v>
      </c>
      <c r="M465" s="1" t="str">
        <f>VLOOKUP(Y465,[1]License_Method_ID!$A$2:$B$13,2,FALSE)</f>
        <v>ADTF Node-Locked License File</v>
      </c>
      <c r="N465" s="1" t="s">
        <v>47</v>
      </c>
      <c r="O465" s="1">
        <v>10</v>
      </c>
      <c r="Q465" s="1" t="str">
        <f>VLOOKUP(AB465,[1]Operational_Profit_Type_ID!$A$2:$B$3,2,FALSE)</f>
        <v>Calculated</v>
      </c>
      <c r="R465" s="1" t="s">
        <v>48</v>
      </c>
      <c r="S465" s="1">
        <v>10</v>
      </c>
      <c r="T465" s="1" t="str">
        <f>VLOOKUP(AD465,[1]UpdateRightID!$A$2:$B$4,2,FALSE)</f>
        <v>UpdateRightByConfiguration</v>
      </c>
      <c r="U465" s="1" t="s">
        <v>48</v>
      </c>
      <c r="Y465" s="1">
        <v>7</v>
      </c>
      <c r="AB465" s="1">
        <v>2</v>
      </c>
      <c r="AD465" s="1">
        <v>1</v>
      </c>
      <c r="AE465" s="1">
        <v>1</v>
      </c>
    </row>
    <row r="466" spans="1:31" ht="255">
      <c r="B466" s="1" t="s">
        <v>1253</v>
      </c>
      <c r="C466" t="s">
        <v>1254</v>
      </c>
      <c r="D466" s="1" t="s">
        <v>1255</v>
      </c>
      <c r="E466" s="1" t="e">
        <f>VLOOKUP(Z466,[1]LicenseDuration_ID!$A$2:$B$8,2,FALSE)</f>
        <v>#N/A</v>
      </c>
      <c r="F466" s="1" t="e">
        <f>VLOOKUP(AA466,[1]MaintenanceDuration_ID!$A$2:$B$5,2,FALSE)</f>
        <v>#N/A</v>
      </c>
      <c r="G466" s="1" t="e">
        <f>VLOOKUP(V466,[1]ExpectedDeliveryTime_ID!$A$2:$B$12,2,FALSE)</f>
        <v>#N/A</v>
      </c>
      <c r="H466" s="1" t="e">
        <f>VLOOKUP(AC466,[1]PaymentModel_ID!$A$2:$B$7,2,FALSE)</f>
        <v>#N/A</v>
      </c>
      <c r="I466" s="1" t="e">
        <f>VLOOKUP(W466,[1]ExpectedInvoiceDate_ID!$A$2:$B$12,2,FALSE)</f>
        <v>#N/A</v>
      </c>
      <c r="J466" s="1" t="e">
        <f>VLOOKUP(X466,[1]GrantOfRights_ID!$A$2:$B$7,2,FALSE)</f>
        <v>#N/A</v>
      </c>
      <c r="K466" s="1" t="str">
        <f>VLOOKUP(AE466,[1]Profile!$A$2:$B$8,2,FALSE)</f>
        <v>License</v>
      </c>
      <c r="M466" s="1" t="str">
        <f>VLOOKUP(Y466,[1]License_Method_ID!$A$2:$B$13,2,FALSE)</f>
        <v>FlexNet Publisher Server Activation Code</v>
      </c>
      <c r="N466" s="1" t="s">
        <v>47</v>
      </c>
      <c r="O466" s="1">
        <v>10</v>
      </c>
      <c r="Q466" s="1" t="str">
        <f>VLOOKUP(AB466,[1]Operational_Profit_Type_ID!$A$2:$B$3,2,FALSE)</f>
        <v>Calculated</v>
      </c>
      <c r="R466" s="1" t="s">
        <v>48</v>
      </c>
      <c r="S466" s="1">
        <v>10</v>
      </c>
      <c r="T466" s="1" t="str">
        <f>VLOOKUP(AD466,[1]UpdateRightID!$A$2:$B$4,2,FALSE)</f>
        <v>UpdateRightByConfiguration</v>
      </c>
      <c r="U466" s="1" t="s">
        <v>48</v>
      </c>
      <c r="Y466" s="1">
        <v>2</v>
      </c>
      <c r="AB466" s="1">
        <v>2</v>
      </c>
      <c r="AD466" s="1">
        <v>1</v>
      </c>
      <c r="AE466" s="1">
        <v>1</v>
      </c>
    </row>
    <row r="467" spans="1:31" ht="120">
      <c r="A467" s="1" t="s">
        <v>43</v>
      </c>
      <c r="B467" s="1" t="s">
        <v>1256</v>
      </c>
      <c r="C467" t="s">
        <v>1257</v>
      </c>
      <c r="D467" s="1" t="s">
        <v>1258</v>
      </c>
      <c r="E467" s="1" t="str">
        <f>VLOOKUP(Z467,[1]LicenseDuration_ID!$A$2:$B$8,2,FALSE)</f>
        <v>n/a</v>
      </c>
      <c r="F467" s="1" t="str">
        <f>VLOOKUP(AA467,[1]MaintenanceDuration_ID!$A$2:$B$5,2,FALSE)</f>
        <v>n/a</v>
      </c>
      <c r="G467" s="1" t="str">
        <f>VLOOKUP(V467,[1]ExpectedDeliveryTime_ID!$A$2:$B$12,2,FALSE)</f>
        <v>In mutual alignment with the project</v>
      </c>
      <c r="H467" s="1" t="str">
        <f>VLOOKUP(AC467,[1]PaymentModel_ID!$A$2:$B$7,2,FALSE)</f>
        <v>One-time payment</v>
      </c>
      <c r="I467" s="1" t="str">
        <f>VLOOKUP(W467,[1]ExpectedInvoiceDate_ID!$A$2:$B$12,2,FALSE)</f>
        <v>With FINAL DELIVERY</v>
      </c>
      <c r="J467" s="1" t="str">
        <f>VLOOKUP(X467,[1]GrantOfRights_ID!$A$2:$B$7,2,FALSE)</f>
        <v>n/a</v>
      </c>
      <c r="K467" s="1" t="str">
        <f>VLOOKUP(AE467,[1]Profile!$A$2:$B$8,2,FALSE)</f>
        <v>Training</v>
      </c>
      <c r="M467" s="1" t="str">
        <f>VLOOKUP(Y467,[1]License_Method_ID!$A$2:$B$13,2,FALSE)</f>
        <v>no technical license protection</v>
      </c>
      <c r="N467" s="1" t="s">
        <v>47</v>
      </c>
      <c r="O467" s="1">
        <v>10</v>
      </c>
      <c r="Q467" s="1" t="str">
        <f>VLOOKUP(AB467,[1]Operational_Profit_Type_ID!$A$2:$B$3,2,FALSE)</f>
        <v>Calculated</v>
      </c>
      <c r="R467" s="1" t="s">
        <v>55</v>
      </c>
      <c r="T467" s="1" t="str">
        <f>VLOOKUP(AD467,[1]UpdateRightID!$A$2:$B$4,2,FALSE)</f>
        <v>none</v>
      </c>
      <c r="U467" s="1" t="s">
        <v>48</v>
      </c>
      <c r="V467" s="1">
        <v>18</v>
      </c>
      <c r="W467" s="1">
        <v>7</v>
      </c>
      <c r="X467" s="1">
        <v>1</v>
      </c>
      <c r="Y467" s="1">
        <v>0</v>
      </c>
      <c r="Z467" s="1">
        <v>1</v>
      </c>
      <c r="AA467" s="1">
        <v>1</v>
      </c>
      <c r="AB467" s="1">
        <v>2</v>
      </c>
      <c r="AC467" s="1">
        <v>2</v>
      </c>
      <c r="AD467" s="1">
        <v>0</v>
      </c>
      <c r="AE467" s="1">
        <v>5</v>
      </c>
    </row>
    <row r="468" spans="1:31">
      <c r="B468" s="1" t="s">
        <v>1259</v>
      </c>
      <c r="C468" t="s">
        <v>1260</v>
      </c>
      <c r="E468" s="1" t="e">
        <f>VLOOKUP(Z468,[1]LicenseDuration_ID!$A$2:$B$8,2,FALSE)</f>
        <v>#N/A</v>
      </c>
      <c r="F468" s="1" t="e">
        <f>VLOOKUP(AA468,[1]MaintenanceDuration_ID!$A$2:$B$5,2,FALSE)</f>
        <v>#N/A</v>
      </c>
      <c r="G468" s="1" t="e">
        <f>VLOOKUP(V468,[1]ExpectedDeliveryTime_ID!$A$2:$B$12,2,FALSE)</f>
        <v>#N/A</v>
      </c>
      <c r="H468" s="1" t="e">
        <f>VLOOKUP(AC468,[1]PaymentModel_ID!$A$2:$B$7,2,FALSE)</f>
        <v>#N/A</v>
      </c>
      <c r="I468" s="1" t="e">
        <f>VLOOKUP(W468,[1]ExpectedInvoiceDate_ID!$A$2:$B$12,2,FALSE)</f>
        <v>#N/A</v>
      </c>
      <c r="J468" s="1" t="e">
        <f>VLOOKUP(X468,[1]GrantOfRights_ID!$A$2:$B$7,2,FALSE)</f>
        <v>#N/A</v>
      </c>
      <c r="K468" s="1" t="str">
        <f>VLOOKUP(AE468,[1]Profile!$A$2:$B$8,2,FALSE)</f>
        <v>License</v>
      </c>
      <c r="M468" s="1" t="str">
        <f>VLOOKUP(Y468,[1]License_Method_ID!$A$2:$B$13,2,FALSE)</f>
        <v>no technical license protection</v>
      </c>
      <c r="N468" s="1" t="s">
        <v>47</v>
      </c>
      <c r="O468" s="1">
        <v>10</v>
      </c>
      <c r="P468" s="1">
        <v>50</v>
      </c>
      <c r="Q468" s="1" t="str">
        <f>VLOOKUP(AB468,[1]Operational_Profit_Type_ID!$A$2:$B$3,2,FALSE)</f>
        <v>Fix rate</v>
      </c>
      <c r="R468" s="1" t="s">
        <v>55</v>
      </c>
      <c r="T468" s="1" t="str">
        <f>VLOOKUP(AD468,[1]UpdateRightID!$A$2:$B$4,2,FALSE)</f>
        <v>none</v>
      </c>
      <c r="U468" s="1" t="s">
        <v>48</v>
      </c>
      <c r="Y468" s="1">
        <v>0</v>
      </c>
      <c r="AB468" s="1">
        <v>1</v>
      </c>
      <c r="AD468" s="1">
        <v>0</v>
      </c>
      <c r="AE468" s="1">
        <v>1</v>
      </c>
    </row>
    <row r="469" spans="1:31" ht="30">
      <c r="B469" s="1" t="s">
        <v>1261</v>
      </c>
      <c r="C469" t="s">
        <v>1262</v>
      </c>
      <c r="E469" s="1" t="e">
        <f>VLOOKUP(Z469,[1]LicenseDuration_ID!$A$2:$B$8,2,FALSE)</f>
        <v>#N/A</v>
      </c>
      <c r="F469" s="1" t="e">
        <f>VLOOKUP(AA469,[1]MaintenanceDuration_ID!$A$2:$B$5,2,FALSE)</f>
        <v>#N/A</v>
      </c>
      <c r="G469" s="1" t="e">
        <f>VLOOKUP(V469,[1]ExpectedDeliveryTime_ID!$A$2:$B$12,2,FALSE)</f>
        <v>#N/A</v>
      </c>
      <c r="H469" s="1" t="e">
        <f>VLOOKUP(AC469,[1]PaymentModel_ID!$A$2:$B$7,2,FALSE)</f>
        <v>#N/A</v>
      </c>
      <c r="I469" s="1" t="e">
        <f>VLOOKUP(W469,[1]ExpectedInvoiceDate_ID!$A$2:$B$12,2,FALSE)</f>
        <v>#N/A</v>
      </c>
      <c r="J469" s="1" t="e">
        <f>VLOOKUP(X469,[1]GrantOfRights_ID!$A$2:$B$7,2,FALSE)</f>
        <v>#N/A</v>
      </c>
      <c r="K469" s="1" t="str">
        <f>VLOOKUP(AE469,[1]Profile!$A$2:$B$8,2,FALSE)</f>
        <v>License</v>
      </c>
      <c r="M469" s="1" t="str">
        <f>VLOOKUP(Y469,[1]License_Method_ID!$A$2:$B$13,2,FALSE)</f>
        <v>FlexNet Publisher Application Activation Code</v>
      </c>
      <c r="N469" s="1" t="s">
        <v>47</v>
      </c>
      <c r="O469" s="1">
        <v>10</v>
      </c>
      <c r="P469" s="1">
        <v>50</v>
      </c>
      <c r="Q469" s="1" t="str">
        <f>VLOOKUP(AB469,[1]Operational_Profit_Type_ID!$A$2:$B$3,2,FALSE)</f>
        <v>Fix rate</v>
      </c>
      <c r="R469" s="1" t="s">
        <v>48</v>
      </c>
      <c r="T469" s="1" t="str">
        <f>VLOOKUP(AD469,[1]UpdateRightID!$A$2:$B$4,2,FALSE)</f>
        <v>none</v>
      </c>
      <c r="U469" s="1" t="s">
        <v>48</v>
      </c>
      <c r="Y469" s="1">
        <v>1</v>
      </c>
      <c r="AB469" s="1">
        <v>1</v>
      </c>
      <c r="AD469" s="1">
        <v>0</v>
      </c>
      <c r="AE469" s="1">
        <v>1</v>
      </c>
    </row>
    <row r="470" spans="1:31" ht="30">
      <c r="B470" s="1" t="s">
        <v>1263</v>
      </c>
      <c r="C470" t="s">
        <v>1264</v>
      </c>
      <c r="E470" s="1" t="e">
        <f>VLOOKUP(Z470,[1]LicenseDuration_ID!$A$2:$B$8,2,FALSE)</f>
        <v>#N/A</v>
      </c>
      <c r="F470" s="1" t="e">
        <f>VLOOKUP(AA470,[1]MaintenanceDuration_ID!$A$2:$B$5,2,FALSE)</f>
        <v>#N/A</v>
      </c>
      <c r="G470" s="1" t="e">
        <f>VLOOKUP(V470,[1]ExpectedDeliveryTime_ID!$A$2:$B$12,2,FALSE)</f>
        <v>#N/A</v>
      </c>
      <c r="H470" s="1" t="e">
        <f>VLOOKUP(AC470,[1]PaymentModel_ID!$A$2:$B$7,2,FALSE)</f>
        <v>#N/A</v>
      </c>
      <c r="I470" s="1" t="e">
        <f>VLOOKUP(W470,[1]ExpectedInvoiceDate_ID!$A$2:$B$12,2,FALSE)</f>
        <v>#N/A</v>
      </c>
      <c r="J470" s="1" t="e">
        <f>VLOOKUP(X470,[1]GrantOfRights_ID!$A$2:$B$7,2,FALSE)</f>
        <v>#N/A</v>
      </c>
      <c r="K470" s="1" t="str">
        <f>VLOOKUP(AE470,[1]Profile!$A$2:$B$8,2,FALSE)</f>
        <v>License</v>
      </c>
      <c r="M470" s="1" t="str">
        <f>VLOOKUP(Y470,[1]License_Method_ID!$A$2:$B$13,2,FALSE)</f>
        <v>FlexNet Publisher Server Activation Code</v>
      </c>
      <c r="N470" s="1" t="s">
        <v>47</v>
      </c>
      <c r="O470" s="1">
        <v>10</v>
      </c>
      <c r="P470" s="1">
        <v>50</v>
      </c>
      <c r="Q470" s="1" t="str">
        <f>VLOOKUP(AB470,[1]Operational_Profit_Type_ID!$A$2:$B$3,2,FALSE)</f>
        <v>Fix rate</v>
      </c>
      <c r="R470" s="1" t="s">
        <v>48</v>
      </c>
      <c r="T470" s="1" t="str">
        <f>VLOOKUP(AD470,[1]UpdateRightID!$A$2:$B$4,2,FALSE)</f>
        <v>none</v>
      </c>
      <c r="U470" s="1" t="s">
        <v>48</v>
      </c>
      <c r="Y470" s="1">
        <v>2</v>
      </c>
      <c r="AB470" s="1">
        <v>1</v>
      </c>
      <c r="AD470" s="1">
        <v>0</v>
      </c>
      <c r="AE470" s="1">
        <v>1</v>
      </c>
    </row>
    <row r="471" spans="1:31">
      <c r="B471" s="1" t="s">
        <v>1265</v>
      </c>
      <c r="C471" t="s">
        <v>1266</v>
      </c>
      <c r="E471" s="1" t="e">
        <f>VLOOKUP(Z471,[1]LicenseDuration_ID!$A$2:$B$8,2,FALSE)</f>
        <v>#N/A</v>
      </c>
      <c r="F471" s="1" t="e">
        <f>VLOOKUP(AA471,[1]MaintenanceDuration_ID!$A$2:$B$5,2,FALSE)</f>
        <v>#N/A</v>
      </c>
      <c r="G471" s="1" t="e">
        <f>VLOOKUP(V471,[1]ExpectedDeliveryTime_ID!$A$2:$B$12,2,FALSE)</f>
        <v>#N/A</v>
      </c>
      <c r="H471" s="1" t="e">
        <f>VLOOKUP(AC471,[1]PaymentModel_ID!$A$2:$B$7,2,FALSE)</f>
        <v>#N/A</v>
      </c>
      <c r="I471" s="1" t="e">
        <f>VLOOKUP(W471,[1]ExpectedInvoiceDate_ID!$A$2:$B$12,2,FALSE)</f>
        <v>#N/A</v>
      </c>
      <c r="J471" s="1" t="e">
        <f>VLOOKUP(X471,[1]GrantOfRights_ID!$A$2:$B$7,2,FALSE)</f>
        <v>#N/A</v>
      </c>
      <c r="K471" s="1" t="str">
        <f>VLOOKUP(AE471,[1]Profile!$A$2:$B$8,2,FALSE)</f>
        <v>License</v>
      </c>
      <c r="M471" s="1" t="str">
        <f>VLOOKUP(Y471,[1]License_Method_ID!$A$2:$B$13,2,FALSE)</f>
        <v>no technical license protection</v>
      </c>
      <c r="N471" s="1" t="s">
        <v>47</v>
      </c>
      <c r="O471" s="1">
        <v>10</v>
      </c>
      <c r="P471" s="1">
        <v>50</v>
      </c>
      <c r="Q471" s="1" t="str">
        <f>VLOOKUP(AB471,[1]Operational_Profit_Type_ID!$A$2:$B$3,2,FALSE)</f>
        <v>Fix rate</v>
      </c>
      <c r="R471" s="1" t="s">
        <v>48</v>
      </c>
      <c r="T471" s="1" t="str">
        <f>VLOOKUP(AD471,[1]UpdateRightID!$A$2:$B$4,2,FALSE)</f>
        <v>none</v>
      </c>
      <c r="U471" s="1" t="s">
        <v>48</v>
      </c>
      <c r="Y471" s="1">
        <v>0</v>
      </c>
      <c r="AB471" s="1">
        <v>1</v>
      </c>
      <c r="AD471" s="1">
        <v>0</v>
      </c>
      <c r="AE471" s="1">
        <v>1</v>
      </c>
    </row>
    <row r="472" spans="1:31" ht="30">
      <c r="B472" s="1" t="s">
        <v>1267</v>
      </c>
      <c r="C472" t="s">
        <v>1268</v>
      </c>
      <c r="E472" s="1" t="e">
        <f>VLOOKUP(Z472,[1]LicenseDuration_ID!$A$2:$B$8,2,FALSE)</f>
        <v>#N/A</v>
      </c>
      <c r="F472" s="1" t="e">
        <f>VLOOKUP(AA472,[1]MaintenanceDuration_ID!$A$2:$B$5,2,FALSE)</f>
        <v>#N/A</v>
      </c>
      <c r="G472" s="1" t="e">
        <f>VLOOKUP(V472,[1]ExpectedDeliveryTime_ID!$A$2:$B$12,2,FALSE)</f>
        <v>#N/A</v>
      </c>
      <c r="H472" s="1" t="e">
        <f>VLOOKUP(AC472,[1]PaymentModel_ID!$A$2:$B$7,2,FALSE)</f>
        <v>#N/A</v>
      </c>
      <c r="I472" s="1" t="e">
        <f>VLOOKUP(W472,[1]ExpectedInvoiceDate_ID!$A$2:$B$12,2,FALSE)</f>
        <v>#N/A</v>
      </c>
      <c r="J472" s="1" t="e">
        <f>VLOOKUP(X472,[1]GrantOfRights_ID!$A$2:$B$7,2,FALSE)</f>
        <v>#N/A</v>
      </c>
      <c r="K472" s="1" t="str">
        <f>VLOOKUP(AE472,[1]Profile!$A$2:$B$8,2,FALSE)</f>
        <v>License</v>
      </c>
      <c r="M472" s="1" t="str">
        <f>VLOOKUP(Y472,[1]License_Method_ID!$A$2:$B$13,2,FALSE)</f>
        <v>FlexNet Publisher Application Activation Code</v>
      </c>
      <c r="N472" s="1" t="s">
        <v>47</v>
      </c>
      <c r="O472" s="1">
        <v>10</v>
      </c>
      <c r="Q472" s="1" t="str">
        <f>VLOOKUP(AB472,[1]Operational_Profit_Type_ID!$A$2:$B$3,2,FALSE)</f>
        <v>Calculated</v>
      </c>
      <c r="R472" s="1" t="s">
        <v>48</v>
      </c>
      <c r="T472" s="1" t="str">
        <f>VLOOKUP(AD472,[1]UpdateRightID!$A$2:$B$4,2,FALSE)</f>
        <v>none</v>
      </c>
      <c r="U472" s="1" t="s">
        <v>48</v>
      </c>
      <c r="Y472" s="1">
        <v>1</v>
      </c>
      <c r="AB472" s="1">
        <v>2</v>
      </c>
      <c r="AD472" s="1">
        <v>0</v>
      </c>
      <c r="AE472" s="1">
        <v>1</v>
      </c>
    </row>
    <row r="473" spans="1:31" ht="30">
      <c r="B473" s="1" t="s">
        <v>1269</v>
      </c>
      <c r="C473" t="s">
        <v>1270</v>
      </c>
      <c r="E473" s="1" t="e">
        <f>VLOOKUP(Z473,[1]LicenseDuration_ID!$A$2:$B$8,2,FALSE)</f>
        <v>#N/A</v>
      </c>
      <c r="F473" s="1" t="e">
        <f>VLOOKUP(AA473,[1]MaintenanceDuration_ID!$A$2:$B$5,2,FALSE)</f>
        <v>#N/A</v>
      </c>
      <c r="G473" s="1" t="e">
        <f>VLOOKUP(V473,[1]ExpectedDeliveryTime_ID!$A$2:$B$12,2,FALSE)</f>
        <v>#N/A</v>
      </c>
      <c r="H473" s="1" t="e">
        <f>VLOOKUP(AC473,[1]PaymentModel_ID!$A$2:$B$7,2,FALSE)</f>
        <v>#N/A</v>
      </c>
      <c r="I473" s="1" t="e">
        <f>VLOOKUP(W473,[1]ExpectedInvoiceDate_ID!$A$2:$B$12,2,FALSE)</f>
        <v>#N/A</v>
      </c>
      <c r="J473" s="1" t="e">
        <f>VLOOKUP(X473,[1]GrantOfRights_ID!$A$2:$B$7,2,FALSE)</f>
        <v>#N/A</v>
      </c>
      <c r="K473" s="1" t="str">
        <f>VLOOKUP(AE473,[1]Profile!$A$2:$B$8,2,FALSE)</f>
        <v>License</v>
      </c>
      <c r="M473" s="1" t="str">
        <f>VLOOKUP(Y473,[1]License_Method_ID!$A$2:$B$13,2,FALSE)</f>
        <v>FlexNet Publisher Server Activation Code</v>
      </c>
      <c r="N473" s="1" t="s">
        <v>47</v>
      </c>
      <c r="O473" s="1">
        <v>10</v>
      </c>
      <c r="Q473" s="1" t="str">
        <f>VLOOKUP(AB473,[1]Operational_Profit_Type_ID!$A$2:$B$3,2,FALSE)</f>
        <v>Calculated</v>
      </c>
      <c r="R473" s="1" t="s">
        <v>48</v>
      </c>
      <c r="T473" s="1" t="str">
        <f>VLOOKUP(AD473,[1]UpdateRightID!$A$2:$B$4,2,FALSE)</f>
        <v>none</v>
      </c>
      <c r="U473" s="1" t="s">
        <v>48</v>
      </c>
      <c r="Y473" s="1">
        <v>2</v>
      </c>
      <c r="AB473" s="1">
        <v>2</v>
      </c>
      <c r="AD473" s="1">
        <v>0</v>
      </c>
      <c r="AE473" s="1">
        <v>1</v>
      </c>
    </row>
    <row r="474" spans="1:31" ht="405">
      <c r="B474" s="1" t="s">
        <v>1271</v>
      </c>
      <c r="C474" t="s">
        <v>1272</v>
      </c>
      <c r="D474" s="1" t="s">
        <v>1273</v>
      </c>
      <c r="E474" s="1" t="e">
        <f>VLOOKUP(Z474,[1]LicenseDuration_ID!$A$2:$B$8,2,FALSE)</f>
        <v>#N/A</v>
      </c>
      <c r="F474" s="1" t="e">
        <f>VLOOKUP(AA474,[1]MaintenanceDuration_ID!$A$2:$B$5,2,FALSE)</f>
        <v>#N/A</v>
      </c>
      <c r="G474" s="1" t="e">
        <f>VLOOKUP(V474,[1]ExpectedDeliveryTime_ID!$A$2:$B$12,2,FALSE)</f>
        <v>#N/A</v>
      </c>
      <c r="H474" s="1" t="e">
        <f>VLOOKUP(AC474,[1]PaymentModel_ID!$A$2:$B$7,2,FALSE)</f>
        <v>#N/A</v>
      </c>
      <c r="I474" s="1" t="e">
        <f>VLOOKUP(W474,[1]ExpectedInvoiceDate_ID!$A$2:$B$12,2,FALSE)</f>
        <v>#N/A</v>
      </c>
      <c r="J474" s="1" t="e">
        <f>VLOOKUP(X474,[1]GrantOfRights_ID!$A$2:$B$7,2,FALSE)</f>
        <v>#N/A</v>
      </c>
      <c r="K474" s="1" t="str">
        <f>VLOOKUP(AE474,[1]Profile!$A$2:$B$8,2,FALSE)</f>
        <v>License</v>
      </c>
      <c r="M474" s="1" t="str">
        <f>VLOOKUP(Y474,[1]License_Method_ID!$A$2:$B$13,2,FALSE)</f>
        <v>no technical license protection</v>
      </c>
      <c r="N474" s="1" t="s">
        <v>47</v>
      </c>
      <c r="O474" s="1">
        <v>10</v>
      </c>
      <c r="P474" s="1">
        <v>50</v>
      </c>
      <c r="Q474" s="1" t="str">
        <f>VLOOKUP(AB474,[1]Operational_Profit_Type_ID!$A$2:$B$3,2,FALSE)</f>
        <v>Fix rate</v>
      </c>
      <c r="R474" s="1" t="s">
        <v>55</v>
      </c>
      <c r="T474" s="1" t="str">
        <f>VLOOKUP(AD474,[1]UpdateRightID!$A$2:$B$4,2,FALSE)</f>
        <v>UpdateRightByConfiguration</v>
      </c>
      <c r="U474" s="1" t="s">
        <v>48</v>
      </c>
      <c r="Y474" s="1">
        <v>0</v>
      </c>
      <c r="AB474" s="1">
        <v>1</v>
      </c>
      <c r="AD474" s="1">
        <v>1</v>
      </c>
      <c r="AE474" s="1">
        <v>1</v>
      </c>
    </row>
    <row r="475" spans="1:31">
      <c r="B475" s="1" t="s">
        <v>1274</v>
      </c>
      <c r="C475" t="s">
        <v>1275</v>
      </c>
      <c r="E475" s="1" t="e">
        <f>VLOOKUP(Z475,[1]LicenseDuration_ID!$A$2:$B$8,2,FALSE)</f>
        <v>#N/A</v>
      </c>
      <c r="F475" s="1" t="e">
        <f>VLOOKUP(AA475,[1]MaintenanceDuration_ID!$A$2:$B$5,2,FALSE)</f>
        <v>#N/A</v>
      </c>
      <c r="G475" s="1" t="e">
        <f>VLOOKUP(V475,[1]ExpectedDeliveryTime_ID!$A$2:$B$12,2,FALSE)</f>
        <v>#N/A</v>
      </c>
      <c r="H475" s="1" t="e">
        <f>VLOOKUP(AC475,[1]PaymentModel_ID!$A$2:$B$7,2,FALSE)</f>
        <v>#N/A</v>
      </c>
      <c r="I475" s="1" t="e">
        <f>VLOOKUP(W475,[1]ExpectedInvoiceDate_ID!$A$2:$B$12,2,FALSE)</f>
        <v>#N/A</v>
      </c>
      <c r="J475" s="1" t="e">
        <f>VLOOKUP(X475,[1]GrantOfRights_ID!$A$2:$B$7,2,FALSE)</f>
        <v>#N/A</v>
      </c>
      <c r="K475" s="1" t="str">
        <f>VLOOKUP(AE475,[1]Profile!$A$2:$B$8,2,FALSE)</f>
        <v>Training</v>
      </c>
      <c r="M475" s="1" t="str">
        <f>VLOOKUP(Y475,[1]License_Method_ID!$A$2:$B$13,2,FALSE)</f>
        <v>no technical license protection</v>
      </c>
      <c r="N475" s="1" t="s">
        <v>47</v>
      </c>
      <c r="O475" s="1">
        <v>10</v>
      </c>
      <c r="Q475" s="1" t="str">
        <f>VLOOKUP(AB475,[1]Operational_Profit_Type_ID!$A$2:$B$3,2,FALSE)</f>
        <v>Calculated</v>
      </c>
      <c r="R475" s="1" t="s">
        <v>55</v>
      </c>
      <c r="S475" s="1">
        <v>0</v>
      </c>
      <c r="T475" s="1" t="str">
        <f>VLOOKUP(AD475,[1]UpdateRightID!$A$2:$B$4,2,FALSE)</f>
        <v>none</v>
      </c>
      <c r="U475" s="1" t="s">
        <v>48</v>
      </c>
      <c r="Y475" s="1">
        <v>0</v>
      </c>
      <c r="AB475" s="1">
        <v>2</v>
      </c>
      <c r="AD475" s="1">
        <v>0</v>
      </c>
      <c r="AE475" s="1">
        <v>5</v>
      </c>
    </row>
    <row r="476" spans="1:31" ht="30">
      <c r="B476" s="1" t="s">
        <v>1276</v>
      </c>
      <c r="C476" t="s">
        <v>1277</v>
      </c>
      <c r="D476" s="1" t="s">
        <v>1278</v>
      </c>
      <c r="E476" s="1" t="e">
        <f>VLOOKUP(Z476,[1]LicenseDuration_ID!$A$2:$B$8,2,FALSE)</f>
        <v>#N/A</v>
      </c>
      <c r="F476" s="1" t="e">
        <f>VLOOKUP(AA476,[1]MaintenanceDuration_ID!$A$2:$B$5,2,FALSE)</f>
        <v>#N/A</v>
      </c>
      <c r="G476" s="1" t="e">
        <f>VLOOKUP(V476,[1]ExpectedDeliveryTime_ID!$A$2:$B$12,2,FALSE)</f>
        <v>#N/A</v>
      </c>
      <c r="H476" s="1" t="e">
        <f>VLOOKUP(AC476,[1]PaymentModel_ID!$A$2:$B$7,2,FALSE)</f>
        <v>#N/A</v>
      </c>
      <c r="I476" s="1" t="e">
        <f>VLOOKUP(W476,[1]ExpectedInvoiceDate_ID!$A$2:$B$12,2,FALSE)</f>
        <v>#N/A</v>
      </c>
      <c r="J476" s="1" t="e">
        <f>VLOOKUP(X476,[1]GrantOfRights_ID!$A$2:$B$7,2,FALSE)</f>
        <v>#N/A</v>
      </c>
      <c r="K476" s="1" t="str">
        <f>VLOOKUP(AE476,[1]Profile!$A$2:$B$8,2,FALSE)</f>
        <v>Qualification Package</v>
      </c>
      <c r="M476" s="1" t="str">
        <f>VLOOKUP(Y476,[1]License_Method_ID!$A$2:$B$13,2,FALSE)</f>
        <v>no technical license protection</v>
      </c>
      <c r="N476" s="1" t="s">
        <v>88</v>
      </c>
      <c r="O476" s="1">
        <v>10</v>
      </c>
      <c r="Q476" s="1" t="str">
        <f>VLOOKUP(AB476,[1]Operational_Profit_Type_ID!$A$2:$B$3,2,FALSE)</f>
        <v>Calculated</v>
      </c>
      <c r="R476" s="1" t="s">
        <v>55</v>
      </c>
      <c r="T476" s="1" t="str">
        <f>VLOOKUP(AD476,[1]UpdateRightID!$A$2:$B$4,2,FALSE)</f>
        <v>none</v>
      </c>
      <c r="U476" s="1" t="s">
        <v>48</v>
      </c>
      <c r="Y476" s="1">
        <v>0</v>
      </c>
      <c r="AB476" s="1">
        <v>2</v>
      </c>
      <c r="AD476" s="1">
        <v>0</v>
      </c>
      <c r="AE476" s="1">
        <v>3</v>
      </c>
    </row>
    <row r="477" spans="1:31" ht="409.5">
      <c r="B477" s="1" t="s">
        <v>1279</v>
      </c>
      <c r="C477" t="s">
        <v>1280</v>
      </c>
      <c r="D477" s="1" t="s">
        <v>1175</v>
      </c>
      <c r="E477" s="1" t="e">
        <f>VLOOKUP(Z477,[1]LicenseDuration_ID!$A$2:$B$8,2,FALSE)</f>
        <v>#N/A</v>
      </c>
      <c r="F477" s="1" t="e">
        <f>VLOOKUP(AA477,[1]MaintenanceDuration_ID!$A$2:$B$5,2,FALSE)</f>
        <v>#N/A</v>
      </c>
      <c r="G477" s="1" t="e">
        <f>VLOOKUP(V477,[1]ExpectedDeliveryTime_ID!$A$2:$B$12,2,FALSE)</f>
        <v>#N/A</v>
      </c>
      <c r="H477" s="1" t="e">
        <f>VLOOKUP(AC477,[1]PaymentModel_ID!$A$2:$B$7,2,FALSE)</f>
        <v>#N/A</v>
      </c>
      <c r="I477" s="1" t="e">
        <f>VLOOKUP(W477,[1]ExpectedInvoiceDate_ID!$A$2:$B$12,2,FALSE)</f>
        <v>#N/A</v>
      </c>
      <c r="J477" s="1" t="e">
        <f>VLOOKUP(X477,[1]GrantOfRights_ID!$A$2:$B$7,2,FALSE)</f>
        <v>#N/A</v>
      </c>
      <c r="K477" s="1" t="str">
        <f>VLOOKUP(AE477,[1]Profile!$A$2:$B$8,2,FALSE)</f>
        <v>License</v>
      </c>
      <c r="M477" s="1" t="str">
        <f>VLOOKUP(Y477,[1]License_Method_ID!$A$2:$B$13,2,FALSE)</f>
        <v>no technical license protection</v>
      </c>
      <c r="N477" s="1" t="s">
        <v>47</v>
      </c>
      <c r="O477" s="1">
        <v>10</v>
      </c>
      <c r="P477" s="1">
        <v>50</v>
      </c>
      <c r="Q477" s="1" t="str">
        <f>VLOOKUP(AB477,[1]Operational_Profit_Type_ID!$A$2:$B$3,2,FALSE)</f>
        <v>Fix rate</v>
      </c>
      <c r="R477" s="1" t="s">
        <v>48</v>
      </c>
      <c r="T477" s="1" t="str">
        <f>VLOOKUP(AD477,[1]UpdateRightID!$A$2:$B$4,2,FALSE)</f>
        <v>UpdateRightByConfiguration</v>
      </c>
      <c r="U477" s="1" t="s">
        <v>48</v>
      </c>
      <c r="Y477" s="1">
        <v>0</v>
      </c>
      <c r="AB477" s="1">
        <v>1</v>
      </c>
      <c r="AD477" s="1">
        <v>1</v>
      </c>
      <c r="AE477" s="1">
        <v>1</v>
      </c>
    </row>
    <row r="478" spans="1:31" ht="105">
      <c r="B478" s="1" t="s">
        <v>1281</v>
      </c>
      <c r="C478" t="s">
        <v>1282</v>
      </c>
      <c r="D478" s="1" t="s">
        <v>1283</v>
      </c>
      <c r="E478" s="1" t="e">
        <f>VLOOKUP(Z478,[1]LicenseDuration_ID!$A$2:$B$8,2,FALSE)</f>
        <v>#N/A</v>
      </c>
      <c r="F478" s="1" t="e">
        <f>VLOOKUP(AA478,[1]MaintenanceDuration_ID!$A$2:$B$5,2,FALSE)</f>
        <v>#N/A</v>
      </c>
      <c r="G478" s="1" t="e">
        <f>VLOOKUP(V478,[1]ExpectedDeliveryTime_ID!$A$2:$B$12,2,FALSE)</f>
        <v>#N/A</v>
      </c>
      <c r="H478" s="1" t="e">
        <f>VLOOKUP(AC478,[1]PaymentModel_ID!$A$2:$B$7,2,FALSE)</f>
        <v>#N/A</v>
      </c>
      <c r="I478" s="1" t="e">
        <f>VLOOKUP(W478,[1]ExpectedInvoiceDate_ID!$A$2:$B$12,2,FALSE)</f>
        <v>#N/A</v>
      </c>
      <c r="J478" s="1" t="e">
        <f>VLOOKUP(X478,[1]GrantOfRights_ID!$A$2:$B$7,2,FALSE)</f>
        <v>#N/A</v>
      </c>
      <c r="K478" s="1" t="str">
        <f>VLOOKUP(AE478,[1]Profile!$A$2:$B$8,2,FALSE)</f>
        <v>License</v>
      </c>
      <c r="M478" s="1" t="str">
        <f>VLOOKUP(Y478,[1]License_Method_ID!$A$2:$B$13,2,FALSE)</f>
        <v>no technical license protection</v>
      </c>
      <c r="N478" s="1" t="s">
        <v>47</v>
      </c>
      <c r="O478" s="1">
        <v>10</v>
      </c>
      <c r="P478" s="1">
        <v>50</v>
      </c>
      <c r="Q478" s="1" t="str">
        <f>VLOOKUP(AB478,[1]Operational_Profit_Type_ID!$A$2:$B$3,2,FALSE)</f>
        <v>Fix rate</v>
      </c>
      <c r="R478" s="1" t="s">
        <v>48</v>
      </c>
      <c r="S478" s="1">
        <v>0</v>
      </c>
      <c r="T478" s="1" t="e">
        <f>VLOOKUP(AD478,[1]UpdateRightID!$A$2:$B$4,2,FALSE)</f>
        <v>#N/A</v>
      </c>
      <c r="U478" s="1" t="s">
        <v>48</v>
      </c>
      <c r="Y478" s="1">
        <v>0</v>
      </c>
      <c r="AB478" s="1">
        <v>1</v>
      </c>
      <c r="AD478" s="1">
        <v>-1</v>
      </c>
      <c r="AE478" s="1">
        <v>1</v>
      </c>
    </row>
    <row r="479" spans="1:31" ht="150">
      <c r="B479" s="1" t="s">
        <v>1284</v>
      </c>
      <c r="C479" t="s">
        <v>1285</v>
      </c>
      <c r="D479" s="1" t="s">
        <v>1286</v>
      </c>
      <c r="E479" s="1" t="e">
        <f>VLOOKUP(Z479,[1]LicenseDuration_ID!$A$2:$B$8,2,FALSE)</f>
        <v>#N/A</v>
      </c>
      <c r="F479" s="1" t="e">
        <f>VLOOKUP(AA479,[1]MaintenanceDuration_ID!$A$2:$B$5,2,FALSE)</f>
        <v>#N/A</v>
      </c>
      <c r="G479" s="1" t="e">
        <f>VLOOKUP(V479,[1]ExpectedDeliveryTime_ID!$A$2:$B$12,2,FALSE)</f>
        <v>#N/A</v>
      </c>
      <c r="H479" s="1" t="e">
        <f>VLOOKUP(AC479,[1]PaymentModel_ID!$A$2:$B$7,2,FALSE)</f>
        <v>#N/A</v>
      </c>
      <c r="I479" s="1" t="e">
        <f>VLOOKUP(W479,[1]ExpectedInvoiceDate_ID!$A$2:$B$12,2,FALSE)</f>
        <v>#N/A</v>
      </c>
      <c r="J479" s="1" t="e">
        <f>VLOOKUP(X479,[1]GrantOfRights_ID!$A$2:$B$7,2,FALSE)</f>
        <v>#N/A</v>
      </c>
      <c r="K479" s="1" t="str">
        <f>VLOOKUP(AE479,[1]Profile!$A$2:$B$8,2,FALSE)</f>
        <v>License</v>
      </c>
      <c r="M479" s="1" t="str">
        <f>VLOOKUP(Y479,[1]License_Method_ID!$A$2:$B$13,2,FALSE)</f>
        <v>no technical license protection</v>
      </c>
      <c r="N479" s="1" t="s">
        <v>47</v>
      </c>
      <c r="O479" s="1">
        <v>10</v>
      </c>
      <c r="P479" s="1">
        <v>50</v>
      </c>
      <c r="Q479" s="1" t="str">
        <f>VLOOKUP(AB479,[1]Operational_Profit_Type_ID!$A$2:$B$3,2,FALSE)</f>
        <v>Fix rate</v>
      </c>
      <c r="R479" s="1" t="s">
        <v>48</v>
      </c>
      <c r="S479" s="1">
        <v>0</v>
      </c>
      <c r="T479" s="1" t="e">
        <f>VLOOKUP(AD479,[1]UpdateRightID!$A$2:$B$4,2,FALSE)</f>
        <v>#N/A</v>
      </c>
      <c r="U479" s="1" t="s">
        <v>48</v>
      </c>
      <c r="Y479" s="1">
        <v>0</v>
      </c>
      <c r="AB479" s="1">
        <v>1</v>
      </c>
      <c r="AD479" s="1">
        <v>-1</v>
      </c>
      <c r="AE479" s="1">
        <v>1</v>
      </c>
    </row>
    <row r="480" spans="1:31" ht="75">
      <c r="A480" s="1" t="s">
        <v>43</v>
      </c>
      <c r="B480" s="1" t="s">
        <v>1287</v>
      </c>
      <c r="C480" t="s">
        <v>1288</v>
      </c>
      <c r="D480" s="1" t="s">
        <v>278</v>
      </c>
      <c r="E480" s="1" t="str">
        <f>VLOOKUP(Z480,[1]LicenseDuration_ID!$A$2:$B$8,2,FALSE)</f>
        <v>3 months</v>
      </c>
      <c r="F480" s="1" t="str">
        <f>VLOOKUP(AA480,[1]MaintenanceDuration_ID!$A$2:$B$5,2,FALSE)</f>
        <v>n/a</v>
      </c>
      <c r="G480" s="1" t="str">
        <f>VLOOKUP(V480,[1]ExpectedDeliveryTime_ID!$A$2:$B$12,2,FALSE)</f>
        <v>n/a</v>
      </c>
      <c r="H480" s="1" t="str">
        <f>VLOOKUP(AC480,[1]PaymentModel_ID!$A$2:$B$7,2,FALSE)</f>
        <v>One-time payment</v>
      </c>
      <c r="I480" s="1" t="str">
        <f>VLOOKUP(W480,[1]ExpectedInvoiceDate_ID!$A$2:$B$12,2,FALSE)</f>
        <v>With FINALIZED PURCHASE PROCESS</v>
      </c>
      <c r="J480" s="1" t="str">
        <f>VLOOKUP(X480,[1]GrantOfRights_ID!$A$2:$B$7,2,FALSE)</f>
        <v>n/a</v>
      </c>
      <c r="K480" s="1" t="str">
        <f>VLOOKUP(AE480,[1]Profile!$A$2:$B$8,2,FALSE)</f>
        <v>Product related service without profile</v>
      </c>
      <c r="M480" s="1" t="str">
        <f>VLOOKUP(Y480,[1]License_Method_ID!$A$2:$B$13,2,FALSE)</f>
        <v>no technical license protection</v>
      </c>
      <c r="N480" s="1" t="s">
        <v>47</v>
      </c>
      <c r="O480" s="1">
        <v>10</v>
      </c>
      <c r="Q480" s="1" t="str">
        <f>VLOOKUP(AB480,[1]Operational_Profit_Type_ID!$A$2:$B$3,2,FALSE)</f>
        <v>Calculated</v>
      </c>
      <c r="R480" s="1" t="s">
        <v>48</v>
      </c>
      <c r="S480" s="1">
        <v>0</v>
      </c>
      <c r="T480" s="1" t="str">
        <f>VLOOKUP(AD480,[1]UpdateRightID!$A$2:$B$4,2,FALSE)</f>
        <v>none</v>
      </c>
      <c r="U480" s="1" t="s">
        <v>48</v>
      </c>
      <c r="V480" s="1">
        <v>1</v>
      </c>
      <c r="W480" s="1">
        <v>8</v>
      </c>
      <c r="X480" s="1">
        <v>1</v>
      </c>
      <c r="Y480" s="1">
        <v>0</v>
      </c>
      <c r="Z480" s="1">
        <v>2</v>
      </c>
      <c r="AA480" s="1">
        <v>1</v>
      </c>
      <c r="AB480" s="1">
        <v>2</v>
      </c>
      <c r="AC480" s="1">
        <v>2</v>
      </c>
      <c r="AD480" s="1">
        <v>0</v>
      </c>
      <c r="AE480" s="1">
        <v>0</v>
      </c>
    </row>
    <row r="481" spans="1:31" ht="105">
      <c r="B481" s="1" t="s">
        <v>1289</v>
      </c>
      <c r="C481" t="s">
        <v>1290</v>
      </c>
      <c r="D481" s="1" t="s">
        <v>1291</v>
      </c>
      <c r="E481" s="1" t="e">
        <f>VLOOKUP(Z481,[1]LicenseDuration_ID!$A$2:$B$8,2,FALSE)</f>
        <v>#N/A</v>
      </c>
      <c r="F481" s="1" t="e">
        <f>VLOOKUP(AA481,[1]MaintenanceDuration_ID!$A$2:$B$5,2,FALSE)</f>
        <v>#N/A</v>
      </c>
      <c r="G481" s="1" t="e">
        <f>VLOOKUP(V481,[1]ExpectedDeliveryTime_ID!$A$2:$B$12,2,FALSE)</f>
        <v>#N/A</v>
      </c>
      <c r="H481" s="1" t="e">
        <f>VLOOKUP(AC481,[1]PaymentModel_ID!$A$2:$B$7,2,FALSE)</f>
        <v>#N/A</v>
      </c>
      <c r="I481" s="1" t="e">
        <f>VLOOKUP(W481,[1]ExpectedInvoiceDate_ID!$A$2:$B$12,2,FALSE)</f>
        <v>#N/A</v>
      </c>
      <c r="J481" s="1" t="e">
        <f>VLOOKUP(X481,[1]GrantOfRights_ID!$A$2:$B$7,2,FALSE)</f>
        <v>#N/A</v>
      </c>
      <c r="K481" s="1" t="str">
        <f>VLOOKUP(AE481,[1]Profile!$A$2:$B$8,2,FALSE)</f>
        <v>Porting</v>
      </c>
      <c r="M481" s="1" t="str">
        <f>VLOOKUP(Y481,[1]License_Method_ID!$A$2:$B$13,2,FALSE)</f>
        <v>no technical license protection</v>
      </c>
      <c r="N481" s="1" t="s">
        <v>88</v>
      </c>
      <c r="O481" s="1">
        <v>10</v>
      </c>
      <c r="Q481" s="1" t="str">
        <f>VLOOKUP(AB481,[1]Operational_Profit_Type_ID!$A$2:$B$3,2,FALSE)</f>
        <v>Calculated</v>
      </c>
      <c r="R481" s="1" t="s">
        <v>55</v>
      </c>
      <c r="S481" s="1">
        <v>0</v>
      </c>
      <c r="T481" s="1" t="str">
        <f>VLOOKUP(AD481,[1]UpdateRightID!$A$2:$B$4,2,FALSE)</f>
        <v>none</v>
      </c>
      <c r="U481" s="1" t="s">
        <v>48</v>
      </c>
      <c r="Y481" s="1">
        <v>0</v>
      </c>
      <c r="AB481" s="1">
        <v>2</v>
      </c>
      <c r="AD481" s="1">
        <v>0</v>
      </c>
      <c r="AE481" s="1">
        <v>4</v>
      </c>
    </row>
    <row r="482" spans="1:31" ht="105">
      <c r="B482" s="1" t="s">
        <v>1292</v>
      </c>
      <c r="C482" t="s">
        <v>1293</v>
      </c>
      <c r="D482" s="1" t="s">
        <v>1294</v>
      </c>
      <c r="E482" s="1" t="e">
        <f>VLOOKUP(Z482,[1]LicenseDuration_ID!$A$2:$B$8,2,FALSE)</f>
        <v>#N/A</v>
      </c>
      <c r="F482" s="1" t="e">
        <f>VLOOKUP(AA482,[1]MaintenanceDuration_ID!$A$2:$B$5,2,FALSE)</f>
        <v>#N/A</v>
      </c>
      <c r="G482" s="1" t="e">
        <f>VLOOKUP(V482,[1]ExpectedDeliveryTime_ID!$A$2:$B$12,2,FALSE)</f>
        <v>#N/A</v>
      </c>
      <c r="H482" s="1" t="e">
        <f>VLOOKUP(AC482,[1]PaymentModel_ID!$A$2:$B$7,2,FALSE)</f>
        <v>#N/A</v>
      </c>
      <c r="I482" s="1" t="e">
        <f>VLOOKUP(W482,[1]ExpectedInvoiceDate_ID!$A$2:$B$12,2,FALSE)</f>
        <v>#N/A</v>
      </c>
      <c r="J482" s="1" t="e">
        <f>VLOOKUP(X482,[1]GrantOfRights_ID!$A$2:$B$7,2,FALSE)</f>
        <v>#N/A</v>
      </c>
      <c r="K482" s="1" t="str">
        <f>VLOOKUP(AE482,[1]Profile!$A$2:$B$8,2,FALSE)</f>
        <v>Porting</v>
      </c>
      <c r="M482" s="1" t="str">
        <f>VLOOKUP(Y482,[1]License_Method_ID!$A$2:$B$13,2,FALSE)</f>
        <v>no technical license protection</v>
      </c>
      <c r="N482" s="1" t="s">
        <v>88</v>
      </c>
      <c r="O482" s="1">
        <v>10</v>
      </c>
      <c r="Q482" s="1" t="str">
        <f>VLOOKUP(AB482,[1]Operational_Profit_Type_ID!$A$2:$B$3,2,FALSE)</f>
        <v>Calculated</v>
      </c>
      <c r="R482" s="1" t="s">
        <v>55</v>
      </c>
      <c r="S482" s="1">
        <v>0</v>
      </c>
      <c r="T482" s="1" t="str">
        <f>VLOOKUP(AD482,[1]UpdateRightID!$A$2:$B$4,2,FALSE)</f>
        <v>none</v>
      </c>
      <c r="U482" s="1" t="s">
        <v>48</v>
      </c>
      <c r="Y482" s="1">
        <v>0</v>
      </c>
      <c r="AB482" s="1">
        <v>2</v>
      </c>
      <c r="AD482" s="1">
        <v>0</v>
      </c>
      <c r="AE482" s="1">
        <v>4</v>
      </c>
    </row>
    <row r="483" spans="1:31" ht="45">
      <c r="B483" s="1" t="s">
        <v>1295</v>
      </c>
      <c r="C483" t="s">
        <v>1296</v>
      </c>
      <c r="D483" s="1" t="s">
        <v>1297</v>
      </c>
      <c r="E483" s="1" t="e">
        <f>VLOOKUP(Z483,[1]LicenseDuration_ID!$A$2:$B$8,2,FALSE)</f>
        <v>#N/A</v>
      </c>
      <c r="F483" s="1" t="e">
        <f>VLOOKUP(AA483,[1]MaintenanceDuration_ID!$A$2:$B$5,2,FALSE)</f>
        <v>#N/A</v>
      </c>
      <c r="G483" s="1" t="e">
        <f>VLOOKUP(V483,[1]ExpectedDeliveryTime_ID!$A$2:$B$12,2,FALSE)</f>
        <v>#N/A</v>
      </c>
      <c r="H483" s="1" t="e">
        <f>VLOOKUP(AC483,[1]PaymentModel_ID!$A$2:$B$7,2,FALSE)</f>
        <v>#N/A</v>
      </c>
      <c r="I483" s="1" t="e">
        <f>VLOOKUP(W483,[1]ExpectedInvoiceDate_ID!$A$2:$B$12,2,FALSE)</f>
        <v>#N/A</v>
      </c>
      <c r="J483" s="1" t="e">
        <f>VLOOKUP(X483,[1]GrantOfRights_ID!$A$2:$B$7,2,FALSE)</f>
        <v>#N/A</v>
      </c>
      <c r="K483" s="1" t="str">
        <f>VLOOKUP(AE483,[1]Profile!$A$2:$B$8,2,FALSE)</f>
        <v>License</v>
      </c>
      <c r="M483" s="1" t="str">
        <f>VLOOKUP(Y483,[1]License_Method_ID!$A$2:$B$13,2,FALSE)</f>
        <v>no technical license protection</v>
      </c>
      <c r="N483" s="1" t="s">
        <v>47</v>
      </c>
      <c r="O483" s="1">
        <v>10</v>
      </c>
      <c r="P483" s="1">
        <v>50</v>
      </c>
      <c r="Q483" s="1" t="str">
        <f>VLOOKUP(AB483,[1]Operational_Profit_Type_ID!$A$2:$B$3,2,FALSE)</f>
        <v>Fix rate</v>
      </c>
      <c r="R483" s="1" t="s">
        <v>55</v>
      </c>
      <c r="S483" s="1">
        <v>0</v>
      </c>
      <c r="T483" s="1" t="str">
        <f>VLOOKUP(AD483,[1]UpdateRightID!$A$2:$B$4,2,FALSE)</f>
        <v>none</v>
      </c>
      <c r="U483" s="1" t="s">
        <v>48</v>
      </c>
      <c r="Y483" s="1">
        <v>0</v>
      </c>
      <c r="AB483" s="1">
        <v>1</v>
      </c>
      <c r="AD483" s="1">
        <v>0</v>
      </c>
      <c r="AE483" s="1">
        <v>1</v>
      </c>
    </row>
    <row r="484" spans="1:31" ht="30">
      <c r="B484" s="1" t="s">
        <v>1298</v>
      </c>
      <c r="C484" t="s">
        <v>1299</v>
      </c>
      <c r="E484" s="1" t="e">
        <f>VLOOKUP(Z484,[1]LicenseDuration_ID!$A$2:$B$8,2,FALSE)</f>
        <v>#N/A</v>
      </c>
      <c r="F484" s="1" t="e">
        <f>VLOOKUP(AA484,[1]MaintenanceDuration_ID!$A$2:$B$5,2,FALSE)</f>
        <v>#N/A</v>
      </c>
      <c r="G484" s="1" t="e">
        <f>VLOOKUP(V484,[1]ExpectedDeliveryTime_ID!$A$2:$B$12,2,FALSE)</f>
        <v>#N/A</v>
      </c>
      <c r="H484" s="1" t="e">
        <f>VLOOKUP(AC484,[1]PaymentModel_ID!$A$2:$B$7,2,FALSE)</f>
        <v>#N/A</v>
      </c>
      <c r="I484" s="1" t="e">
        <f>VLOOKUP(W484,[1]ExpectedInvoiceDate_ID!$A$2:$B$12,2,FALSE)</f>
        <v>#N/A</v>
      </c>
      <c r="J484" s="1" t="e">
        <f>VLOOKUP(X484,[1]GrantOfRights_ID!$A$2:$B$7,2,FALSE)</f>
        <v>#N/A</v>
      </c>
      <c r="K484" s="1" t="str">
        <f>VLOOKUP(AE484,[1]Profile!$A$2:$B$8,2,FALSE)</f>
        <v>License</v>
      </c>
      <c r="M484" s="1" t="str">
        <f>VLOOKUP(Y484,[1]License_Method_ID!$A$2:$B$13,2,FALSE)</f>
        <v>no technical license protection</v>
      </c>
      <c r="N484" s="1" t="s">
        <v>47</v>
      </c>
      <c r="O484" s="1">
        <v>10</v>
      </c>
      <c r="P484" s="1">
        <v>50</v>
      </c>
      <c r="Q484" s="1" t="str">
        <f>VLOOKUP(AB484,[1]Operational_Profit_Type_ID!$A$2:$B$3,2,FALSE)</f>
        <v>Fix rate</v>
      </c>
      <c r="R484" s="1" t="s">
        <v>55</v>
      </c>
      <c r="S484" s="1">
        <v>0</v>
      </c>
      <c r="T484" s="1" t="str">
        <f>VLOOKUP(AD484,[1]UpdateRightID!$A$2:$B$4,2,FALSE)</f>
        <v>UpdateRightByConfiguration</v>
      </c>
      <c r="U484" s="1" t="s">
        <v>48</v>
      </c>
      <c r="Y484" s="1">
        <v>0</v>
      </c>
      <c r="AB484" s="1">
        <v>1</v>
      </c>
      <c r="AD484" s="1">
        <v>1</v>
      </c>
      <c r="AE484" s="1">
        <v>1</v>
      </c>
    </row>
    <row r="485" spans="1:31" ht="120">
      <c r="B485" s="1" t="s">
        <v>1300</v>
      </c>
      <c r="C485" t="s">
        <v>1301</v>
      </c>
      <c r="D485" s="1" t="s">
        <v>1302</v>
      </c>
      <c r="E485" s="1" t="e">
        <f>VLOOKUP(Z485,[1]LicenseDuration_ID!$A$2:$B$8,2,FALSE)</f>
        <v>#N/A</v>
      </c>
      <c r="F485" s="1" t="e">
        <f>VLOOKUP(AA485,[1]MaintenanceDuration_ID!$A$2:$B$5,2,FALSE)</f>
        <v>#N/A</v>
      </c>
      <c r="G485" s="1" t="e">
        <f>VLOOKUP(V485,[1]ExpectedDeliveryTime_ID!$A$2:$B$12,2,FALSE)</f>
        <v>#N/A</v>
      </c>
      <c r="H485" s="1" t="e">
        <f>VLOOKUP(AC485,[1]PaymentModel_ID!$A$2:$B$7,2,FALSE)</f>
        <v>#N/A</v>
      </c>
      <c r="I485" s="1" t="e">
        <f>VLOOKUP(W485,[1]ExpectedInvoiceDate_ID!$A$2:$B$12,2,FALSE)</f>
        <v>#N/A</v>
      </c>
      <c r="J485" s="1" t="e">
        <f>VLOOKUP(X485,[1]GrantOfRights_ID!$A$2:$B$7,2,FALSE)</f>
        <v>#N/A</v>
      </c>
      <c r="K485" s="1" t="str">
        <f>VLOOKUP(AE485,[1]Profile!$A$2:$B$8,2,FALSE)</f>
        <v>License</v>
      </c>
      <c r="M485" s="1" t="str">
        <f>VLOOKUP(Y485,[1]License_Method_ID!$A$2:$B$13,2,FALSE)</f>
        <v>no technical license protection</v>
      </c>
      <c r="N485" s="1" t="s">
        <v>47</v>
      </c>
      <c r="O485" s="1">
        <v>10</v>
      </c>
      <c r="P485" s="1">
        <v>50</v>
      </c>
      <c r="Q485" s="1" t="str">
        <f>VLOOKUP(AB485,[1]Operational_Profit_Type_ID!$A$2:$B$3,2,FALSE)</f>
        <v>Fix rate</v>
      </c>
      <c r="R485" s="1" t="s">
        <v>55</v>
      </c>
      <c r="S485" s="1">
        <v>0</v>
      </c>
      <c r="T485" s="1" t="str">
        <f>VLOOKUP(AD485,[1]UpdateRightID!$A$2:$B$4,2,FALSE)</f>
        <v>TotalAmountAsUpdateRight</v>
      </c>
      <c r="U485" s="1" t="s">
        <v>48</v>
      </c>
      <c r="Y485" s="1">
        <v>0</v>
      </c>
      <c r="AB485" s="1">
        <v>1</v>
      </c>
      <c r="AD485" s="1">
        <v>2</v>
      </c>
      <c r="AE485" s="1">
        <v>1</v>
      </c>
    </row>
    <row r="486" spans="1:31" ht="90">
      <c r="B486" s="1" t="s">
        <v>1303</v>
      </c>
      <c r="C486" t="s">
        <v>1304</v>
      </c>
      <c r="D486" s="1" t="s">
        <v>1305</v>
      </c>
      <c r="E486" s="1" t="e">
        <f>VLOOKUP(Z486,[1]LicenseDuration_ID!$A$2:$B$8,2,FALSE)</f>
        <v>#N/A</v>
      </c>
      <c r="F486" s="1" t="e">
        <f>VLOOKUP(AA486,[1]MaintenanceDuration_ID!$A$2:$B$5,2,FALSE)</f>
        <v>#N/A</v>
      </c>
      <c r="G486" s="1" t="e">
        <f>VLOOKUP(V486,[1]ExpectedDeliveryTime_ID!$A$2:$B$12,2,FALSE)</f>
        <v>#N/A</v>
      </c>
      <c r="H486" s="1" t="e">
        <f>VLOOKUP(AC486,[1]PaymentModel_ID!$A$2:$B$7,2,FALSE)</f>
        <v>#N/A</v>
      </c>
      <c r="I486" s="1" t="e">
        <f>VLOOKUP(W486,[1]ExpectedInvoiceDate_ID!$A$2:$B$12,2,FALSE)</f>
        <v>#N/A</v>
      </c>
      <c r="J486" s="1" t="e">
        <f>VLOOKUP(X486,[1]GrantOfRights_ID!$A$2:$B$7,2,FALSE)</f>
        <v>#N/A</v>
      </c>
      <c r="K486" s="1" t="str">
        <f>VLOOKUP(AE486,[1]Profile!$A$2:$B$8,2,FALSE)</f>
        <v>License</v>
      </c>
      <c r="M486" s="1" t="str">
        <f>VLOOKUP(Y486,[1]License_Method_ID!$A$2:$B$13,2,FALSE)</f>
        <v>no technical license protection</v>
      </c>
      <c r="N486" s="1" t="s">
        <v>47</v>
      </c>
      <c r="O486" s="1">
        <v>10</v>
      </c>
      <c r="P486" s="1">
        <v>50</v>
      </c>
      <c r="Q486" s="1" t="str">
        <f>VLOOKUP(AB486,[1]Operational_Profit_Type_ID!$A$2:$B$3,2,FALSE)</f>
        <v>Fix rate</v>
      </c>
      <c r="R486" s="1" t="s">
        <v>55</v>
      </c>
      <c r="T486" s="1" t="str">
        <f>VLOOKUP(AD486,[1]UpdateRightID!$A$2:$B$4,2,FALSE)</f>
        <v>none</v>
      </c>
      <c r="U486" s="1" t="s">
        <v>48</v>
      </c>
      <c r="Y486" s="1">
        <v>0</v>
      </c>
      <c r="AB486" s="1">
        <v>1</v>
      </c>
      <c r="AD486" s="1">
        <v>0</v>
      </c>
      <c r="AE486" s="1">
        <v>1</v>
      </c>
    </row>
    <row r="487" spans="1:31" ht="90">
      <c r="B487" s="1" t="s">
        <v>1306</v>
      </c>
      <c r="C487" t="s">
        <v>1307</v>
      </c>
      <c r="D487" s="1" t="s">
        <v>1305</v>
      </c>
      <c r="E487" s="1" t="e">
        <f>VLOOKUP(Z487,[1]LicenseDuration_ID!$A$2:$B$8,2,FALSE)</f>
        <v>#N/A</v>
      </c>
      <c r="F487" s="1" t="e">
        <f>VLOOKUP(AA487,[1]MaintenanceDuration_ID!$A$2:$B$5,2,FALSE)</f>
        <v>#N/A</v>
      </c>
      <c r="G487" s="1" t="e">
        <f>VLOOKUP(V487,[1]ExpectedDeliveryTime_ID!$A$2:$B$12,2,FALSE)</f>
        <v>#N/A</v>
      </c>
      <c r="H487" s="1" t="e">
        <f>VLOOKUP(AC487,[1]PaymentModel_ID!$A$2:$B$7,2,FALSE)</f>
        <v>#N/A</v>
      </c>
      <c r="I487" s="1" t="e">
        <f>VLOOKUP(W487,[1]ExpectedInvoiceDate_ID!$A$2:$B$12,2,FALSE)</f>
        <v>#N/A</v>
      </c>
      <c r="J487" s="1" t="e">
        <f>VLOOKUP(X487,[1]GrantOfRights_ID!$A$2:$B$7,2,FALSE)</f>
        <v>#N/A</v>
      </c>
      <c r="K487" s="1" t="str">
        <f>VLOOKUP(AE487,[1]Profile!$A$2:$B$8,2,FALSE)</f>
        <v>License</v>
      </c>
      <c r="M487" s="1" t="str">
        <f>VLOOKUP(Y487,[1]License_Method_ID!$A$2:$B$13,2,FALSE)</f>
        <v>no technical license protection</v>
      </c>
      <c r="N487" s="1" t="s">
        <v>47</v>
      </c>
      <c r="O487" s="1">
        <v>10</v>
      </c>
      <c r="P487" s="1">
        <v>50</v>
      </c>
      <c r="Q487" s="1" t="str">
        <f>VLOOKUP(AB487,[1]Operational_Profit_Type_ID!$A$2:$B$3,2,FALSE)</f>
        <v>Fix rate</v>
      </c>
      <c r="R487" s="1" t="s">
        <v>55</v>
      </c>
      <c r="T487" s="1" t="str">
        <f>VLOOKUP(AD487,[1]UpdateRightID!$A$2:$B$4,2,FALSE)</f>
        <v>none</v>
      </c>
      <c r="U487" s="1" t="s">
        <v>48</v>
      </c>
      <c r="Y487" s="1">
        <v>0</v>
      </c>
      <c r="AB487" s="1">
        <v>1</v>
      </c>
      <c r="AD487" s="1">
        <v>0</v>
      </c>
      <c r="AE487" s="1">
        <v>1</v>
      </c>
    </row>
    <row r="488" spans="1:31" ht="90">
      <c r="B488" s="1" t="s">
        <v>1308</v>
      </c>
      <c r="C488" t="s">
        <v>1309</v>
      </c>
      <c r="D488" s="1" t="s">
        <v>1310</v>
      </c>
      <c r="E488" s="1" t="e">
        <f>VLOOKUP(Z488,[1]LicenseDuration_ID!$A$2:$B$8,2,FALSE)</f>
        <v>#N/A</v>
      </c>
      <c r="F488" s="1" t="e">
        <f>VLOOKUP(AA488,[1]MaintenanceDuration_ID!$A$2:$B$5,2,FALSE)</f>
        <v>#N/A</v>
      </c>
      <c r="G488" s="1" t="e">
        <f>VLOOKUP(V488,[1]ExpectedDeliveryTime_ID!$A$2:$B$12,2,FALSE)</f>
        <v>#N/A</v>
      </c>
      <c r="H488" s="1" t="e">
        <f>VLOOKUP(AC488,[1]PaymentModel_ID!$A$2:$B$7,2,FALSE)</f>
        <v>#N/A</v>
      </c>
      <c r="I488" s="1" t="e">
        <f>VLOOKUP(W488,[1]ExpectedInvoiceDate_ID!$A$2:$B$12,2,FALSE)</f>
        <v>#N/A</v>
      </c>
      <c r="J488" s="1" t="e">
        <f>VLOOKUP(X488,[1]GrantOfRights_ID!$A$2:$B$7,2,FALSE)</f>
        <v>#N/A</v>
      </c>
      <c r="K488" s="1" t="str">
        <f>VLOOKUP(AE488,[1]Profile!$A$2:$B$8,2,FALSE)</f>
        <v>License</v>
      </c>
      <c r="M488" s="1" t="str">
        <f>VLOOKUP(Y488,[1]License_Method_ID!$A$2:$B$13,2,FALSE)</f>
        <v>no technical license protection</v>
      </c>
      <c r="N488" s="1" t="s">
        <v>47</v>
      </c>
      <c r="O488" s="1">
        <v>10</v>
      </c>
      <c r="Q488" s="1" t="str">
        <f>VLOOKUP(AB488,[1]Operational_Profit_Type_ID!$A$2:$B$3,2,FALSE)</f>
        <v>Calculated</v>
      </c>
      <c r="R488" s="1" t="s">
        <v>55</v>
      </c>
      <c r="S488" s="1">
        <v>0</v>
      </c>
      <c r="T488" s="1" t="str">
        <f>VLOOKUP(AD488,[1]UpdateRightID!$A$2:$B$4,2,FALSE)</f>
        <v>none</v>
      </c>
      <c r="U488" s="1" t="s">
        <v>48</v>
      </c>
      <c r="Y488" s="1">
        <v>0</v>
      </c>
      <c r="AB488" s="1">
        <v>2</v>
      </c>
      <c r="AD488" s="1">
        <v>0</v>
      </c>
      <c r="AE488" s="1">
        <v>1</v>
      </c>
    </row>
    <row r="489" spans="1:31" ht="180">
      <c r="A489" s="1" t="s">
        <v>43</v>
      </c>
      <c r="B489" s="1" t="s">
        <v>1311</v>
      </c>
      <c r="C489" t="s">
        <v>1312</v>
      </c>
      <c r="D489" s="1" t="s">
        <v>613</v>
      </c>
      <c r="E489" s="1" t="str">
        <f>VLOOKUP(Z489,[1]LicenseDuration_ID!$A$2:$B$8,2,FALSE)</f>
        <v>n/a</v>
      </c>
      <c r="F489" s="1" t="str">
        <f>VLOOKUP(AA489,[1]MaintenanceDuration_ID!$A$2:$B$5,2,FALSE)</f>
        <v>12 months</v>
      </c>
      <c r="G489" s="1" t="str">
        <f>VLOOKUP(V489,[1]ExpectedDeliveryTime_ID!$A$2:$B$12,2,FALSE)</f>
        <v>n/a</v>
      </c>
      <c r="H489" s="1" t="str">
        <f>VLOOKUP(AC489,[1]PaymentModel_ID!$A$2:$B$7,2,FALSE)</f>
        <v>Annual payment</v>
      </c>
      <c r="I489" s="1" t="str">
        <f>VLOOKUP(W489,[1]ExpectedInvoiceDate_ID!$A$2:$B$12,2,FALSE)</f>
        <v>Anually at the beginning of the extended period</v>
      </c>
      <c r="J489" s="1" t="str">
        <f>VLOOKUP(X489,[1]GrantOfRights_ID!$A$2:$B$7,2,FALSE)</f>
        <v>n/a</v>
      </c>
      <c r="K489" s="1" t="str">
        <f>VLOOKUP(AE489,[1]Profile!$A$2:$B$8,2,FALSE)</f>
        <v>License</v>
      </c>
      <c r="M489" s="1" t="str">
        <f>VLOOKUP(Y489,[1]License_Method_ID!$A$2:$B$13,2,FALSE)</f>
        <v>no technical license protection</v>
      </c>
      <c r="N489" s="1" t="s">
        <v>47</v>
      </c>
      <c r="O489" s="1">
        <v>10</v>
      </c>
      <c r="Q489" s="1" t="str">
        <f>VLOOKUP(AB489,[1]Operational_Profit_Type_ID!$A$2:$B$3,2,FALSE)</f>
        <v>Calculated</v>
      </c>
      <c r="R489" s="1" t="s">
        <v>55</v>
      </c>
      <c r="S489" s="1">
        <v>15</v>
      </c>
      <c r="T489" s="1" t="str">
        <f>VLOOKUP(AD489,[1]UpdateRightID!$A$2:$B$4,2,FALSE)</f>
        <v>TotalAmountAsUpdateRight</v>
      </c>
      <c r="U489" s="1" t="s">
        <v>48</v>
      </c>
      <c r="V489" s="1">
        <v>1</v>
      </c>
      <c r="W489" s="1">
        <v>2</v>
      </c>
      <c r="X489" s="1">
        <v>1</v>
      </c>
      <c r="Y489" s="1">
        <v>0</v>
      </c>
      <c r="Z489" s="1">
        <v>1</v>
      </c>
      <c r="AA489" s="1">
        <v>3</v>
      </c>
      <c r="AB489" s="1">
        <v>2</v>
      </c>
      <c r="AC489" s="1">
        <v>3</v>
      </c>
      <c r="AD489" s="1">
        <v>2</v>
      </c>
      <c r="AE489" s="1">
        <v>1</v>
      </c>
    </row>
    <row r="490" spans="1:31" ht="120">
      <c r="A490" s="1" t="s">
        <v>43</v>
      </c>
      <c r="B490" s="1" t="s">
        <v>1313</v>
      </c>
      <c r="C490" t="s">
        <v>1314</v>
      </c>
      <c r="D490" s="1" t="s">
        <v>1315</v>
      </c>
      <c r="E490" s="1" t="str">
        <f>VLOOKUP(Z490,[1]LicenseDuration_ID!$A$2:$B$8,2,FALSE)</f>
        <v>12 months / yearly automatically renewed</v>
      </c>
      <c r="F490" s="1" t="str">
        <f>VLOOKUP(AA490,[1]MaintenanceDuration_ID!$A$2:$B$5,2,FALSE)</f>
        <v>12 months / yearly automatically renewed</v>
      </c>
      <c r="G490" s="1" t="str">
        <f>VLOOKUP(V490,[1]ExpectedDeliveryTime_ID!$A$2:$B$12,2,FALSE)</f>
        <v>FINALIZED PURCHASE PROCESS + 2 weeks</v>
      </c>
      <c r="H490" s="1" t="str">
        <f>VLOOKUP(AC490,[1]PaymentModel_ID!$A$2:$B$7,2,FALSE)</f>
        <v>Annual subscription</v>
      </c>
      <c r="I490" s="1" t="str">
        <f>VLOOKUP(W490,[1]ExpectedInvoiceDate_ID!$A$2:$B$12,2,FALSE)</f>
        <v>First payment due after FINAL DELIVERY / Recurring payment based on LICENSE PERIOD</v>
      </c>
      <c r="J490" s="1" t="str">
        <f>VLOOKUP(X490,[1]GrantOfRights_ID!$A$2:$B$7,2,FALSE)</f>
        <v>Elektrobit Tooling Licence</v>
      </c>
      <c r="K490" s="1" t="str">
        <f>VLOOKUP(AE490,[1]Profile!$A$2:$B$8,2,FALSE)</f>
        <v>License</v>
      </c>
      <c r="M490" s="1" t="str">
        <f>VLOOKUP(Y490,[1]License_Method_ID!$A$2:$B$13,2,FALSE)</f>
        <v>FlexNet Publisher Application Activation Code</v>
      </c>
      <c r="N490" s="1" t="s">
        <v>47</v>
      </c>
      <c r="O490" s="1">
        <v>10</v>
      </c>
      <c r="P490" s="1">
        <v>50</v>
      </c>
      <c r="Q490" s="1" t="str">
        <f>VLOOKUP(AB490,[1]Operational_Profit_Type_ID!$A$2:$B$3,2,FALSE)</f>
        <v>Fix rate</v>
      </c>
      <c r="R490" s="1" t="s">
        <v>55</v>
      </c>
      <c r="T490" s="1" t="str">
        <f>VLOOKUP(AD490,[1]UpdateRightID!$A$2:$B$4,2,FALSE)</f>
        <v>UpdateRightByConfiguration</v>
      </c>
      <c r="U490" s="1" t="s">
        <v>48</v>
      </c>
      <c r="V490" s="1">
        <v>2</v>
      </c>
      <c r="W490" s="1">
        <v>3</v>
      </c>
      <c r="X490" s="1">
        <v>2</v>
      </c>
      <c r="Y490" s="1">
        <v>1</v>
      </c>
      <c r="Z490" s="1">
        <v>5</v>
      </c>
      <c r="AA490" s="1">
        <v>4</v>
      </c>
      <c r="AB490" s="1">
        <v>1</v>
      </c>
      <c r="AC490" s="1">
        <v>4</v>
      </c>
      <c r="AD490" s="1">
        <v>1</v>
      </c>
      <c r="AE490" s="1">
        <v>1</v>
      </c>
    </row>
    <row r="491" spans="1:31" ht="120">
      <c r="A491" s="1" t="s">
        <v>43</v>
      </c>
      <c r="B491" s="1" t="s">
        <v>1316</v>
      </c>
      <c r="C491" t="s">
        <v>1317</v>
      </c>
      <c r="D491" s="1" t="s">
        <v>1318</v>
      </c>
      <c r="E491" s="1" t="str">
        <f>VLOOKUP(Z491,[1]LicenseDuration_ID!$A$2:$B$8,2,FALSE)</f>
        <v>12 months / yearly automatically renewed</v>
      </c>
      <c r="F491" s="1" t="str">
        <f>VLOOKUP(AA491,[1]MaintenanceDuration_ID!$A$2:$B$5,2,FALSE)</f>
        <v>12 months / yearly automatically renewed</v>
      </c>
      <c r="G491" s="1" t="str">
        <f>VLOOKUP(V491,[1]ExpectedDeliveryTime_ID!$A$2:$B$12,2,FALSE)</f>
        <v>FINALIZED PURCHASE PROCESS + 2 weeks</v>
      </c>
      <c r="H491" s="1" t="str">
        <f>VLOOKUP(AC491,[1]PaymentModel_ID!$A$2:$B$7,2,FALSE)</f>
        <v>Annual subscription</v>
      </c>
      <c r="I491" s="1" t="str">
        <f>VLOOKUP(W491,[1]ExpectedInvoiceDate_ID!$A$2:$B$12,2,FALSE)</f>
        <v>First payment due after FINAL DELIVERY / Recurring payment based on LICENSE PERIOD</v>
      </c>
      <c r="J491" s="1" t="str">
        <f>VLOOKUP(X491,[1]GrantOfRights_ID!$A$2:$B$7,2,FALSE)</f>
        <v>Elektrobit Tooling Licence</v>
      </c>
      <c r="K491" s="1" t="str">
        <f>VLOOKUP(AE491,[1]Profile!$A$2:$B$8,2,FALSE)</f>
        <v>License</v>
      </c>
      <c r="M491" s="1" t="str">
        <f>VLOOKUP(Y491,[1]License_Method_ID!$A$2:$B$13,2,FALSE)</f>
        <v>FlexNet Publisher Server Activation Code</v>
      </c>
      <c r="N491" s="1" t="s">
        <v>47</v>
      </c>
      <c r="O491" s="1">
        <v>10</v>
      </c>
      <c r="P491" s="1">
        <v>50</v>
      </c>
      <c r="Q491" s="1" t="str">
        <f>VLOOKUP(AB491,[1]Operational_Profit_Type_ID!$A$2:$B$3,2,FALSE)</f>
        <v>Fix rate</v>
      </c>
      <c r="R491" s="1" t="s">
        <v>55</v>
      </c>
      <c r="T491" s="1" t="str">
        <f>VLOOKUP(AD491,[1]UpdateRightID!$A$2:$B$4,2,FALSE)</f>
        <v>UpdateRightByConfiguration</v>
      </c>
      <c r="U491" s="1" t="s">
        <v>48</v>
      </c>
      <c r="V491" s="1">
        <v>2</v>
      </c>
      <c r="W491" s="1">
        <v>3</v>
      </c>
      <c r="X491" s="1">
        <v>2</v>
      </c>
      <c r="Y491" s="1">
        <v>2</v>
      </c>
      <c r="Z491" s="1">
        <v>5</v>
      </c>
      <c r="AA491" s="1">
        <v>4</v>
      </c>
      <c r="AB491" s="1">
        <v>1</v>
      </c>
      <c r="AC491" s="1">
        <v>4</v>
      </c>
      <c r="AD491" s="1">
        <v>1</v>
      </c>
      <c r="AE491" s="1">
        <v>1</v>
      </c>
    </row>
    <row r="492" spans="1:31" ht="45">
      <c r="B492" s="1" t="s">
        <v>1319</v>
      </c>
      <c r="C492" t="s">
        <v>1320</v>
      </c>
      <c r="D492" s="1" t="s">
        <v>1321</v>
      </c>
      <c r="E492" s="1" t="e">
        <f>VLOOKUP(Z492,[1]LicenseDuration_ID!$A$2:$B$8,2,FALSE)</f>
        <v>#N/A</v>
      </c>
      <c r="F492" s="1" t="e">
        <f>VLOOKUP(AA492,[1]MaintenanceDuration_ID!$A$2:$B$5,2,FALSE)</f>
        <v>#N/A</v>
      </c>
      <c r="G492" s="1" t="e">
        <f>VLOOKUP(V492,[1]ExpectedDeliveryTime_ID!$A$2:$B$12,2,FALSE)</f>
        <v>#N/A</v>
      </c>
      <c r="H492" s="1" t="e">
        <f>VLOOKUP(AC492,[1]PaymentModel_ID!$A$2:$B$7,2,FALSE)</f>
        <v>#N/A</v>
      </c>
      <c r="I492" s="1" t="e">
        <f>VLOOKUP(W492,[1]ExpectedInvoiceDate_ID!$A$2:$B$12,2,FALSE)</f>
        <v>#N/A</v>
      </c>
      <c r="J492" s="1" t="e">
        <f>VLOOKUP(X492,[1]GrantOfRights_ID!$A$2:$B$7,2,FALSE)</f>
        <v>#N/A</v>
      </c>
      <c r="K492" s="1" t="str">
        <f>VLOOKUP(AE492,[1]Profile!$A$2:$B$8,2,FALSE)</f>
        <v>License</v>
      </c>
      <c r="M492" s="1" t="str">
        <f>VLOOKUP(Y492,[1]License_Method_ID!$A$2:$B$13,2,FALSE)</f>
        <v>no technical license protection</v>
      </c>
      <c r="N492" s="1" t="s">
        <v>47</v>
      </c>
      <c r="O492" s="1">
        <v>10</v>
      </c>
      <c r="P492" s="1">
        <v>50</v>
      </c>
      <c r="Q492" s="1" t="str">
        <f>VLOOKUP(AB492,[1]Operational_Profit_Type_ID!$A$2:$B$3,2,FALSE)</f>
        <v>Fix rate</v>
      </c>
      <c r="R492" s="1" t="s">
        <v>55</v>
      </c>
      <c r="S492" s="1">
        <v>0</v>
      </c>
      <c r="T492" s="1" t="str">
        <f>VLOOKUP(AD492,[1]UpdateRightID!$A$2:$B$4,2,FALSE)</f>
        <v>UpdateRightByConfiguration</v>
      </c>
      <c r="U492" s="1" t="s">
        <v>48</v>
      </c>
      <c r="Y492" s="1">
        <v>0</v>
      </c>
      <c r="AB492" s="1">
        <v>1</v>
      </c>
      <c r="AD492" s="1">
        <v>1</v>
      </c>
      <c r="AE492" s="1">
        <v>1</v>
      </c>
    </row>
    <row r="493" spans="1:31" ht="150">
      <c r="B493" s="1" t="s">
        <v>1322</v>
      </c>
      <c r="C493" t="s">
        <v>1323</v>
      </c>
      <c r="D493" s="1" t="s">
        <v>1125</v>
      </c>
      <c r="E493" s="1" t="e">
        <f>VLOOKUP(Z493,[1]LicenseDuration_ID!$A$2:$B$8,2,FALSE)</f>
        <v>#N/A</v>
      </c>
      <c r="F493" s="1" t="e">
        <f>VLOOKUP(AA493,[1]MaintenanceDuration_ID!$A$2:$B$5,2,FALSE)</f>
        <v>#N/A</v>
      </c>
      <c r="G493" s="1" t="e">
        <f>VLOOKUP(V493,[1]ExpectedDeliveryTime_ID!$A$2:$B$12,2,FALSE)</f>
        <v>#N/A</v>
      </c>
      <c r="H493" s="1" t="e">
        <f>VLOOKUP(AC493,[1]PaymentModel_ID!$A$2:$B$7,2,FALSE)</f>
        <v>#N/A</v>
      </c>
      <c r="I493" s="1" t="e">
        <f>VLOOKUP(W493,[1]ExpectedInvoiceDate_ID!$A$2:$B$12,2,FALSE)</f>
        <v>#N/A</v>
      </c>
      <c r="J493" s="1" t="e">
        <f>VLOOKUP(X493,[1]GrantOfRights_ID!$A$2:$B$7,2,FALSE)</f>
        <v>#N/A</v>
      </c>
      <c r="K493" s="1" t="str">
        <f>VLOOKUP(AE493,[1]Profile!$A$2:$B$8,2,FALSE)</f>
        <v>License</v>
      </c>
      <c r="M493" s="1" t="str">
        <f>VLOOKUP(Y493,[1]License_Method_ID!$A$2:$B$13,2,FALSE)</f>
        <v>no technical license protection</v>
      </c>
      <c r="N493" s="1" t="s">
        <v>47</v>
      </c>
      <c r="O493" s="1">
        <v>10</v>
      </c>
      <c r="P493" s="1">
        <v>50</v>
      </c>
      <c r="Q493" s="1" t="str">
        <f>VLOOKUP(AB493,[1]Operational_Profit_Type_ID!$A$2:$B$3,2,FALSE)</f>
        <v>Fix rate</v>
      </c>
      <c r="R493" s="1" t="s">
        <v>48</v>
      </c>
      <c r="T493" s="1" t="str">
        <f>VLOOKUP(AD493,[1]UpdateRightID!$A$2:$B$4,2,FALSE)</f>
        <v>none</v>
      </c>
      <c r="U493" s="1" t="s">
        <v>48</v>
      </c>
      <c r="Y493" s="1">
        <v>0</v>
      </c>
      <c r="AB493" s="1">
        <v>1</v>
      </c>
      <c r="AD493" s="1">
        <v>0</v>
      </c>
      <c r="AE493" s="1">
        <v>1</v>
      </c>
    </row>
    <row r="494" spans="1:31" ht="150">
      <c r="B494" s="1" t="s">
        <v>1324</v>
      </c>
      <c r="C494" t="s">
        <v>1325</v>
      </c>
      <c r="D494" s="1" t="s">
        <v>1125</v>
      </c>
      <c r="E494" s="1" t="e">
        <f>VLOOKUP(Z494,[1]LicenseDuration_ID!$A$2:$B$8,2,FALSE)</f>
        <v>#N/A</v>
      </c>
      <c r="F494" s="1" t="e">
        <f>VLOOKUP(AA494,[1]MaintenanceDuration_ID!$A$2:$B$5,2,FALSE)</f>
        <v>#N/A</v>
      </c>
      <c r="G494" s="1" t="e">
        <f>VLOOKUP(V494,[1]ExpectedDeliveryTime_ID!$A$2:$B$12,2,FALSE)</f>
        <v>#N/A</v>
      </c>
      <c r="H494" s="1" t="e">
        <f>VLOOKUP(AC494,[1]PaymentModel_ID!$A$2:$B$7,2,FALSE)</f>
        <v>#N/A</v>
      </c>
      <c r="I494" s="1" t="e">
        <f>VLOOKUP(W494,[1]ExpectedInvoiceDate_ID!$A$2:$B$12,2,FALSE)</f>
        <v>#N/A</v>
      </c>
      <c r="J494" s="1" t="e">
        <f>VLOOKUP(X494,[1]GrantOfRights_ID!$A$2:$B$7,2,FALSE)</f>
        <v>#N/A</v>
      </c>
      <c r="K494" s="1" t="str">
        <f>VLOOKUP(AE494,[1]Profile!$A$2:$B$8,2,FALSE)</f>
        <v>License</v>
      </c>
      <c r="M494" s="1" t="str">
        <f>VLOOKUP(Y494,[1]License_Method_ID!$A$2:$B$13,2,FALSE)</f>
        <v>no technical license protection</v>
      </c>
      <c r="N494" s="1" t="s">
        <v>47</v>
      </c>
      <c r="O494" s="1">
        <v>10</v>
      </c>
      <c r="P494" s="1">
        <v>50</v>
      </c>
      <c r="Q494" s="1" t="str">
        <f>VLOOKUP(AB494,[1]Operational_Profit_Type_ID!$A$2:$B$3,2,FALSE)</f>
        <v>Fix rate</v>
      </c>
      <c r="R494" s="1" t="s">
        <v>48</v>
      </c>
      <c r="T494" s="1" t="str">
        <f>VLOOKUP(AD494,[1]UpdateRightID!$A$2:$B$4,2,FALSE)</f>
        <v>none</v>
      </c>
      <c r="U494" s="1" t="s">
        <v>48</v>
      </c>
      <c r="Y494" s="1">
        <v>0</v>
      </c>
      <c r="AB494" s="1">
        <v>1</v>
      </c>
      <c r="AD494" s="1">
        <v>0</v>
      </c>
      <c r="AE494" s="1">
        <v>1</v>
      </c>
    </row>
    <row r="495" spans="1:31" ht="150">
      <c r="B495" s="1" t="s">
        <v>1326</v>
      </c>
      <c r="C495" t="s">
        <v>1327</v>
      </c>
      <c r="D495" s="1" t="s">
        <v>1125</v>
      </c>
      <c r="E495" s="1" t="e">
        <f>VLOOKUP(Z495,[1]LicenseDuration_ID!$A$2:$B$8,2,FALSE)</f>
        <v>#N/A</v>
      </c>
      <c r="F495" s="1" t="e">
        <f>VLOOKUP(AA495,[1]MaintenanceDuration_ID!$A$2:$B$5,2,FALSE)</f>
        <v>#N/A</v>
      </c>
      <c r="G495" s="1" t="e">
        <f>VLOOKUP(V495,[1]ExpectedDeliveryTime_ID!$A$2:$B$12,2,FALSE)</f>
        <v>#N/A</v>
      </c>
      <c r="H495" s="1" t="e">
        <f>VLOOKUP(AC495,[1]PaymentModel_ID!$A$2:$B$7,2,FALSE)</f>
        <v>#N/A</v>
      </c>
      <c r="I495" s="1" t="e">
        <f>VLOOKUP(W495,[1]ExpectedInvoiceDate_ID!$A$2:$B$12,2,FALSE)</f>
        <v>#N/A</v>
      </c>
      <c r="J495" s="1" t="e">
        <f>VLOOKUP(X495,[1]GrantOfRights_ID!$A$2:$B$7,2,FALSE)</f>
        <v>#N/A</v>
      </c>
      <c r="K495" s="1" t="str">
        <f>VLOOKUP(AE495,[1]Profile!$A$2:$B$8,2,FALSE)</f>
        <v>License</v>
      </c>
      <c r="M495" s="1" t="str">
        <f>VLOOKUP(Y495,[1]License_Method_ID!$A$2:$B$13,2,FALSE)</f>
        <v>no technical license protection</v>
      </c>
      <c r="N495" s="1" t="s">
        <v>47</v>
      </c>
      <c r="O495" s="1">
        <v>10</v>
      </c>
      <c r="P495" s="1">
        <v>50</v>
      </c>
      <c r="Q495" s="1" t="str">
        <f>VLOOKUP(AB495,[1]Operational_Profit_Type_ID!$A$2:$B$3,2,FALSE)</f>
        <v>Fix rate</v>
      </c>
      <c r="R495" s="1" t="s">
        <v>48</v>
      </c>
      <c r="T495" s="1" t="str">
        <f>VLOOKUP(AD495,[1]UpdateRightID!$A$2:$B$4,2,FALSE)</f>
        <v>none</v>
      </c>
      <c r="U495" s="1" t="s">
        <v>48</v>
      </c>
      <c r="Y495" s="1">
        <v>0</v>
      </c>
      <c r="AB495" s="1">
        <v>1</v>
      </c>
      <c r="AD495" s="1">
        <v>0</v>
      </c>
      <c r="AE495" s="1">
        <v>1</v>
      </c>
    </row>
    <row r="496" spans="1:31" ht="150">
      <c r="B496" s="1" t="s">
        <v>1328</v>
      </c>
      <c r="C496" t="s">
        <v>1329</v>
      </c>
      <c r="D496" s="1" t="s">
        <v>1125</v>
      </c>
      <c r="E496" s="1" t="e">
        <f>VLOOKUP(Z496,[1]LicenseDuration_ID!$A$2:$B$8,2,FALSE)</f>
        <v>#N/A</v>
      </c>
      <c r="F496" s="1" t="e">
        <f>VLOOKUP(AA496,[1]MaintenanceDuration_ID!$A$2:$B$5,2,FALSE)</f>
        <v>#N/A</v>
      </c>
      <c r="G496" s="1" t="e">
        <f>VLOOKUP(V496,[1]ExpectedDeliveryTime_ID!$A$2:$B$12,2,FALSE)</f>
        <v>#N/A</v>
      </c>
      <c r="H496" s="1" t="e">
        <f>VLOOKUP(AC496,[1]PaymentModel_ID!$A$2:$B$7,2,FALSE)</f>
        <v>#N/A</v>
      </c>
      <c r="I496" s="1" t="e">
        <f>VLOOKUP(W496,[1]ExpectedInvoiceDate_ID!$A$2:$B$12,2,FALSE)</f>
        <v>#N/A</v>
      </c>
      <c r="J496" s="1" t="e">
        <f>VLOOKUP(X496,[1]GrantOfRights_ID!$A$2:$B$7,2,FALSE)</f>
        <v>#N/A</v>
      </c>
      <c r="K496" s="1" t="str">
        <f>VLOOKUP(AE496,[1]Profile!$A$2:$B$8,2,FALSE)</f>
        <v>License</v>
      </c>
      <c r="M496" s="1" t="str">
        <f>VLOOKUP(Y496,[1]License_Method_ID!$A$2:$B$13,2,FALSE)</f>
        <v>no technical license protection</v>
      </c>
      <c r="N496" s="1" t="s">
        <v>47</v>
      </c>
      <c r="O496" s="1">
        <v>10</v>
      </c>
      <c r="P496" s="1">
        <v>50</v>
      </c>
      <c r="Q496" s="1" t="str">
        <f>VLOOKUP(AB496,[1]Operational_Profit_Type_ID!$A$2:$B$3,2,FALSE)</f>
        <v>Fix rate</v>
      </c>
      <c r="R496" s="1" t="s">
        <v>48</v>
      </c>
      <c r="T496" s="1" t="str">
        <f>VLOOKUP(AD496,[1]UpdateRightID!$A$2:$B$4,2,FALSE)</f>
        <v>none</v>
      </c>
      <c r="U496" s="1" t="s">
        <v>48</v>
      </c>
      <c r="Y496" s="1">
        <v>0</v>
      </c>
      <c r="AB496" s="1">
        <v>1</v>
      </c>
      <c r="AD496" s="1">
        <v>0</v>
      </c>
      <c r="AE496" s="1">
        <v>1</v>
      </c>
    </row>
    <row r="497" spans="1:31" ht="150">
      <c r="B497" s="1" t="s">
        <v>1330</v>
      </c>
      <c r="C497" t="s">
        <v>1331</v>
      </c>
      <c r="D497" s="1" t="s">
        <v>1125</v>
      </c>
      <c r="E497" s="1" t="e">
        <f>VLOOKUP(Z497,[1]LicenseDuration_ID!$A$2:$B$8,2,FALSE)</f>
        <v>#N/A</v>
      </c>
      <c r="F497" s="1" t="e">
        <f>VLOOKUP(AA497,[1]MaintenanceDuration_ID!$A$2:$B$5,2,FALSE)</f>
        <v>#N/A</v>
      </c>
      <c r="G497" s="1" t="e">
        <f>VLOOKUP(V497,[1]ExpectedDeliveryTime_ID!$A$2:$B$12,2,FALSE)</f>
        <v>#N/A</v>
      </c>
      <c r="H497" s="1" t="e">
        <f>VLOOKUP(AC497,[1]PaymentModel_ID!$A$2:$B$7,2,FALSE)</f>
        <v>#N/A</v>
      </c>
      <c r="I497" s="1" t="e">
        <f>VLOOKUP(W497,[1]ExpectedInvoiceDate_ID!$A$2:$B$12,2,FALSE)</f>
        <v>#N/A</v>
      </c>
      <c r="J497" s="1" t="e">
        <f>VLOOKUP(X497,[1]GrantOfRights_ID!$A$2:$B$7,2,FALSE)</f>
        <v>#N/A</v>
      </c>
      <c r="K497" s="1" t="str">
        <f>VLOOKUP(AE497,[1]Profile!$A$2:$B$8,2,FALSE)</f>
        <v>License</v>
      </c>
      <c r="M497" s="1" t="str">
        <f>VLOOKUP(Y497,[1]License_Method_ID!$A$2:$B$13,2,FALSE)</f>
        <v>no technical license protection</v>
      </c>
      <c r="N497" s="1" t="s">
        <v>47</v>
      </c>
      <c r="O497" s="1">
        <v>10</v>
      </c>
      <c r="P497" s="1">
        <v>50</v>
      </c>
      <c r="Q497" s="1" t="str">
        <f>VLOOKUP(AB497,[1]Operational_Profit_Type_ID!$A$2:$B$3,2,FALSE)</f>
        <v>Fix rate</v>
      </c>
      <c r="R497" s="1" t="s">
        <v>48</v>
      </c>
      <c r="T497" s="1" t="str">
        <f>VLOOKUP(AD497,[1]UpdateRightID!$A$2:$B$4,2,FALSE)</f>
        <v>none</v>
      </c>
      <c r="U497" s="1" t="s">
        <v>48</v>
      </c>
      <c r="Y497" s="1">
        <v>0</v>
      </c>
      <c r="AB497" s="1">
        <v>1</v>
      </c>
      <c r="AD497" s="1">
        <v>0</v>
      </c>
      <c r="AE497" s="1">
        <v>1</v>
      </c>
    </row>
    <row r="498" spans="1:31" ht="150">
      <c r="B498" s="1" t="s">
        <v>1332</v>
      </c>
      <c r="C498" t="s">
        <v>1333</v>
      </c>
      <c r="D498" s="1" t="s">
        <v>1125</v>
      </c>
      <c r="E498" s="1" t="e">
        <f>VLOOKUP(Z498,[1]LicenseDuration_ID!$A$2:$B$8,2,FALSE)</f>
        <v>#N/A</v>
      </c>
      <c r="F498" s="1" t="e">
        <f>VLOOKUP(AA498,[1]MaintenanceDuration_ID!$A$2:$B$5,2,FALSE)</f>
        <v>#N/A</v>
      </c>
      <c r="G498" s="1" t="e">
        <f>VLOOKUP(V498,[1]ExpectedDeliveryTime_ID!$A$2:$B$12,2,FALSE)</f>
        <v>#N/A</v>
      </c>
      <c r="H498" s="1" t="e">
        <f>VLOOKUP(AC498,[1]PaymentModel_ID!$A$2:$B$7,2,FALSE)</f>
        <v>#N/A</v>
      </c>
      <c r="I498" s="1" t="e">
        <f>VLOOKUP(W498,[1]ExpectedInvoiceDate_ID!$A$2:$B$12,2,FALSE)</f>
        <v>#N/A</v>
      </c>
      <c r="J498" s="1" t="e">
        <f>VLOOKUP(X498,[1]GrantOfRights_ID!$A$2:$B$7,2,FALSE)</f>
        <v>#N/A</v>
      </c>
      <c r="K498" s="1" t="str">
        <f>VLOOKUP(AE498,[1]Profile!$A$2:$B$8,2,FALSE)</f>
        <v>License</v>
      </c>
      <c r="M498" s="1" t="str">
        <f>VLOOKUP(Y498,[1]License_Method_ID!$A$2:$B$13,2,FALSE)</f>
        <v>no technical license protection</v>
      </c>
      <c r="N498" s="1" t="s">
        <v>47</v>
      </c>
      <c r="O498" s="1">
        <v>10</v>
      </c>
      <c r="P498" s="1">
        <v>50</v>
      </c>
      <c r="Q498" s="1" t="str">
        <f>VLOOKUP(AB498,[1]Operational_Profit_Type_ID!$A$2:$B$3,2,FALSE)</f>
        <v>Fix rate</v>
      </c>
      <c r="R498" s="1" t="s">
        <v>48</v>
      </c>
      <c r="T498" s="1" t="str">
        <f>VLOOKUP(AD498,[1]UpdateRightID!$A$2:$B$4,2,FALSE)</f>
        <v>none</v>
      </c>
      <c r="U498" s="1" t="s">
        <v>48</v>
      </c>
      <c r="Y498" s="1">
        <v>0</v>
      </c>
      <c r="AB498" s="1">
        <v>1</v>
      </c>
      <c r="AD498" s="1">
        <v>0</v>
      </c>
      <c r="AE498" s="1">
        <v>1</v>
      </c>
    </row>
    <row r="499" spans="1:31" ht="150">
      <c r="B499" s="1" t="s">
        <v>1334</v>
      </c>
      <c r="C499" t="s">
        <v>1335</v>
      </c>
      <c r="D499" s="1" t="s">
        <v>1125</v>
      </c>
      <c r="E499" s="1" t="e">
        <f>VLOOKUP(Z499,[1]LicenseDuration_ID!$A$2:$B$8,2,FALSE)</f>
        <v>#N/A</v>
      </c>
      <c r="F499" s="1" t="e">
        <f>VLOOKUP(AA499,[1]MaintenanceDuration_ID!$A$2:$B$5,2,FALSE)</f>
        <v>#N/A</v>
      </c>
      <c r="G499" s="1" t="e">
        <f>VLOOKUP(V499,[1]ExpectedDeliveryTime_ID!$A$2:$B$12,2,FALSE)</f>
        <v>#N/A</v>
      </c>
      <c r="H499" s="1" t="e">
        <f>VLOOKUP(AC499,[1]PaymentModel_ID!$A$2:$B$7,2,FALSE)</f>
        <v>#N/A</v>
      </c>
      <c r="I499" s="1" t="e">
        <f>VLOOKUP(W499,[1]ExpectedInvoiceDate_ID!$A$2:$B$12,2,FALSE)</f>
        <v>#N/A</v>
      </c>
      <c r="J499" s="1" t="e">
        <f>VLOOKUP(X499,[1]GrantOfRights_ID!$A$2:$B$7,2,FALSE)</f>
        <v>#N/A</v>
      </c>
      <c r="K499" s="1" t="str">
        <f>VLOOKUP(AE499,[1]Profile!$A$2:$B$8,2,FALSE)</f>
        <v>License</v>
      </c>
      <c r="M499" s="1" t="str">
        <f>VLOOKUP(Y499,[1]License_Method_ID!$A$2:$B$13,2,FALSE)</f>
        <v>no technical license protection</v>
      </c>
      <c r="N499" s="1" t="s">
        <v>47</v>
      </c>
      <c r="O499" s="1">
        <v>10</v>
      </c>
      <c r="P499" s="1">
        <v>50</v>
      </c>
      <c r="Q499" s="1" t="str">
        <f>VLOOKUP(AB499,[1]Operational_Profit_Type_ID!$A$2:$B$3,2,FALSE)</f>
        <v>Fix rate</v>
      </c>
      <c r="R499" s="1" t="s">
        <v>48</v>
      </c>
      <c r="T499" s="1" t="str">
        <f>VLOOKUP(AD499,[1]UpdateRightID!$A$2:$B$4,2,FALSE)</f>
        <v>none</v>
      </c>
      <c r="U499" s="1" t="s">
        <v>48</v>
      </c>
      <c r="Y499" s="1">
        <v>0</v>
      </c>
      <c r="AB499" s="1">
        <v>1</v>
      </c>
      <c r="AD499" s="1">
        <v>0</v>
      </c>
      <c r="AE499" s="1">
        <v>1</v>
      </c>
    </row>
    <row r="500" spans="1:31" ht="150">
      <c r="B500" s="1" t="s">
        <v>1336</v>
      </c>
      <c r="C500" t="s">
        <v>1337</v>
      </c>
      <c r="D500" s="1" t="s">
        <v>1125</v>
      </c>
      <c r="E500" s="1" t="e">
        <f>VLOOKUP(Z500,[1]LicenseDuration_ID!$A$2:$B$8,2,FALSE)</f>
        <v>#N/A</v>
      </c>
      <c r="F500" s="1" t="e">
        <f>VLOOKUP(AA500,[1]MaintenanceDuration_ID!$A$2:$B$5,2,FALSE)</f>
        <v>#N/A</v>
      </c>
      <c r="G500" s="1" t="e">
        <f>VLOOKUP(V500,[1]ExpectedDeliveryTime_ID!$A$2:$B$12,2,FALSE)</f>
        <v>#N/A</v>
      </c>
      <c r="H500" s="1" t="e">
        <f>VLOOKUP(AC500,[1]PaymentModel_ID!$A$2:$B$7,2,FALSE)</f>
        <v>#N/A</v>
      </c>
      <c r="I500" s="1" t="e">
        <f>VLOOKUP(W500,[1]ExpectedInvoiceDate_ID!$A$2:$B$12,2,FALSE)</f>
        <v>#N/A</v>
      </c>
      <c r="J500" s="1" t="e">
        <f>VLOOKUP(X500,[1]GrantOfRights_ID!$A$2:$B$7,2,FALSE)</f>
        <v>#N/A</v>
      </c>
      <c r="K500" s="1" t="str">
        <f>VLOOKUP(AE500,[1]Profile!$A$2:$B$8,2,FALSE)</f>
        <v>License</v>
      </c>
      <c r="M500" s="1" t="str">
        <f>VLOOKUP(Y500,[1]License_Method_ID!$A$2:$B$13,2,FALSE)</f>
        <v>no technical license protection</v>
      </c>
      <c r="N500" s="1" t="s">
        <v>47</v>
      </c>
      <c r="O500" s="1">
        <v>10</v>
      </c>
      <c r="P500" s="1">
        <v>50</v>
      </c>
      <c r="Q500" s="1" t="str">
        <f>VLOOKUP(AB500,[1]Operational_Profit_Type_ID!$A$2:$B$3,2,FALSE)</f>
        <v>Fix rate</v>
      </c>
      <c r="R500" s="1" t="s">
        <v>48</v>
      </c>
      <c r="T500" s="1" t="str">
        <f>VLOOKUP(AD500,[1]UpdateRightID!$A$2:$B$4,2,FALSE)</f>
        <v>none</v>
      </c>
      <c r="U500" s="1" t="s">
        <v>48</v>
      </c>
      <c r="Y500" s="1">
        <v>0</v>
      </c>
      <c r="AB500" s="1">
        <v>1</v>
      </c>
      <c r="AD500" s="1">
        <v>0</v>
      </c>
      <c r="AE500" s="1">
        <v>1</v>
      </c>
    </row>
    <row r="501" spans="1:31" ht="150">
      <c r="B501" s="1" t="s">
        <v>1338</v>
      </c>
      <c r="C501" t="s">
        <v>1339</v>
      </c>
      <c r="D501" s="1" t="s">
        <v>1125</v>
      </c>
      <c r="E501" s="1" t="e">
        <f>VLOOKUP(Z501,[1]LicenseDuration_ID!$A$2:$B$8,2,FALSE)</f>
        <v>#N/A</v>
      </c>
      <c r="F501" s="1" t="e">
        <f>VLOOKUP(AA501,[1]MaintenanceDuration_ID!$A$2:$B$5,2,FALSE)</f>
        <v>#N/A</v>
      </c>
      <c r="G501" s="1" t="e">
        <f>VLOOKUP(V501,[1]ExpectedDeliveryTime_ID!$A$2:$B$12,2,FALSE)</f>
        <v>#N/A</v>
      </c>
      <c r="H501" s="1" t="e">
        <f>VLOOKUP(AC501,[1]PaymentModel_ID!$A$2:$B$7,2,FALSE)</f>
        <v>#N/A</v>
      </c>
      <c r="I501" s="1" t="e">
        <f>VLOOKUP(W501,[1]ExpectedInvoiceDate_ID!$A$2:$B$12,2,FALSE)</f>
        <v>#N/A</v>
      </c>
      <c r="J501" s="1" t="e">
        <f>VLOOKUP(X501,[1]GrantOfRights_ID!$A$2:$B$7,2,FALSE)</f>
        <v>#N/A</v>
      </c>
      <c r="K501" s="1" t="str">
        <f>VLOOKUP(AE501,[1]Profile!$A$2:$B$8,2,FALSE)</f>
        <v>License</v>
      </c>
      <c r="M501" s="1" t="str">
        <f>VLOOKUP(Y501,[1]License_Method_ID!$A$2:$B$13,2,FALSE)</f>
        <v>no technical license protection</v>
      </c>
      <c r="N501" s="1" t="s">
        <v>47</v>
      </c>
      <c r="O501" s="1">
        <v>10</v>
      </c>
      <c r="P501" s="1">
        <v>50</v>
      </c>
      <c r="Q501" s="1" t="str">
        <f>VLOOKUP(AB501,[1]Operational_Profit_Type_ID!$A$2:$B$3,2,FALSE)</f>
        <v>Fix rate</v>
      </c>
      <c r="R501" s="1" t="s">
        <v>48</v>
      </c>
      <c r="T501" s="1" t="str">
        <f>VLOOKUP(AD501,[1]UpdateRightID!$A$2:$B$4,2,FALSE)</f>
        <v>none</v>
      </c>
      <c r="U501" s="1" t="s">
        <v>48</v>
      </c>
      <c r="Y501" s="1">
        <v>0</v>
      </c>
      <c r="AB501" s="1">
        <v>1</v>
      </c>
      <c r="AD501" s="1">
        <v>0</v>
      </c>
      <c r="AE501" s="1">
        <v>1</v>
      </c>
    </row>
    <row r="502" spans="1:31" ht="150">
      <c r="B502" s="1" t="s">
        <v>1340</v>
      </c>
      <c r="C502" t="s">
        <v>1341</v>
      </c>
      <c r="D502" s="1" t="s">
        <v>1125</v>
      </c>
      <c r="E502" s="1" t="e">
        <f>VLOOKUP(Z502,[1]LicenseDuration_ID!$A$2:$B$8,2,FALSE)</f>
        <v>#N/A</v>
      </c>
      <c r="F502" s="1" t="e">
        <f>VLOOKUP(AA502,[1]MaintenanceDuration_ID!$A$2:$B$5,2,FALSE)</f>
        <v>#N/A</v>
      </c>
      <c r="G502" s="1" t="e">
        <f>VLOOKUP(V502,[1]ExpectedDeliveryTime_ID!$A$2:$B$12,2,FALSE)</f>
        <v>#N/A</v>
      </c>
      <c r="H502" s="1" t="e">
        <f>VLOOKUP(AC502,[1]PaymentModel_ID!$A$2:$B$7,2,FALSE)</f>
        <v>#N/A</v>
      </c>
      <c r="I502" s="1" t="e">
        <f>VLOOKUP(W502,[1]ExpectedInvoiceDate_ID!$A$2:$B$12,2,FALSE)</f>
        <v>#N/A</v>
      </c>
      <c r="J502" s="1" t="e">
        <f>VLOOKUP(X502,[1]GrantOfRights_ID!$A$2:$B$7,2,FALSE)</f>
        <v>#N/A</v>
      </c>
      <c r="K502" s="1" t="str">
        <f>VLOOKUP(AE502,[1]Profile!$A$2:$B$8,2,FALSE)</f>
        <v>License</v>
      </c>
      <c r="M502" s="1" t="str">
        <f>VLOOKUP(Y502,[1]License_Method_ID!$A$2:$B$13,2,FALSE)</f>
        <v>no technical license protection</v>
      </c>
      <c r="N502" s="1" t="s">
        <v>47</v>
      </c>
      <c r="O502" s="1">
        <v>10</v>
      </c>
      <c r="P502" s="1">
        <v>50</v>
      </c>
      <c r="Q502" s="1" t="str">
        <f>VLOOKUP(AB502,[1]Operational_Profit_Type_ID!$A$2:$B$3,2,FALSE)</f>
        <v>Fix rate</v>
      </c>
      <c r="R502" s="1" t="s">
        <v>48</v>
      </c>
      <c r="T502" s="1" t="str">
        <f>VLOOKUP(AD502,[1]UpdateRightID!$A$2:$B$4,2,FALSE)</f>
        <v>none</v>
      </c>
      <c r="U502" s="1" t="s">
        <v>48</v>
      </c>
      <c r="Y502" s="1">
        <v>0</v>
      </c>
      <c r="AB502" s="1">
        <v>1</v>
      </c>
      <c r="AD502" s="1">
        <v>0</v>
      </c>
      <c r="AE502" s="1">
        <v>1</v>
      </c>
    </row>
    <row r="503" spans="1:31" ht="150">
      <c r="B503" s="1" t="s">
        <v>1342</v>
      </c>
      <c r="C503" t="s">
        <v>1343</v>
      </c>
      <c r="D503" s="1" t="s">
        <v>1125</v>
      </c>
      <c r="E503" s="1" t="e">
        <f>VLOOKUP(Z503,[1]LicenseDuration_ID!$A$2:$B$8,2,FALSE)</f>
        <v>#N/A</v>
      </c>
      <c r="F503" s="1" t="e">
        <f>VLOOKUP(AA503,[1]MaintenanceDuration_ID!$A$2:$B$5,2,FALSE)</f>
        <v>#N/A</v>
      </c>
      <c r="G503" s="1" t="e">
        <f>VLOOKUP(V503,[1]ExpectedDeliveryTime_ID!$A$2:$B$12,2,FALSE)</f>
        <v>#N/A</v>
      </c>
      <c r="H503" s="1" t="e">
        <f>VLOOKUP(AC503,[1]PaymentModel_ID!$A$2:$B$7,2,FALSE)</f>
        <v>#N/A</v>
      </c>
      <c r="I503" s="1" t="e">
        <f>VLOOKUP(W503,[1]ExpectedInvoiceDate_ID!$A$2:$B$12,2,FALSE)</f>
        <v>#N/A</v>
      </c>
      <c r="J503" s="1" t="e">
        <f>VLOOKUP(X503,[1]GrantOfRights_ID!$A$2:$B$7,2,FALSE)</f>
        <v>#N/A</v>
      </c>
      <c r="K503" s="1" t="str">
        <f>VLOOKUP(AE503,[1]Profile!$A$2:$B$8,2,FALSE)</f>
        <v>License</v>
      </c>
      <c r="M503" s="1" t="str">
        <f>VLOOKUP(Y503,[1]License_Method_ID!$A$2:$B$13,2,FALSE)</f>
        <v>no technical license protection</v>
      </c>
      <c r="N503" s="1" t="s">
        <v>47</v>
      </c>
      <c r="O503" s="1">
        <v>10</v>
      </c>
      <c r="P503" s="1">
        <v>50</v>
      </c>
      <c r="Q503" s="1" t="str">
        <f>VLOOKUP(AB503,[1]Operational_Profit_Type_ID!$A$2:$B$3,2,FALSE)</f>
        <v>Fix rate</v>
      </c>
      <c r="R503" s="1" t="s">
        <v>48</v>
      </c>
      <c r="T503" s="1" t="str">
        <f>VLOOKUP(AD503,[1]UpdateRightID!$A$2:$B$4,2,FALSE)</f>
        <v>none</v>
      </c>
      <c r="U503" s="1" t="s">
        <v>48</v>
      </c>
      <c r="Y503" s="1">
        <v>0</v>
      </c>
      <c r="AB503" s="1">
        <v>1</v>
      </c>
      <c r="AD503" s="1">
        <v>0</v>
      </c>
      <c r="AE503" s="1">
        <v>1</v>
      </c>
    </row>
    <row r="504" spans="1:31" ht="150">
      <c r="B504" s="1" t="s">
        <v>1344</v>
      </c>
      <c r="C504" t="s">
        <v>1345</v>
      </c>
      <c r="D504" s="1" t="s">
        <v>1125</v>
      </c>
      <c r="E504" s="1" t="e">
        <f>VLOOKUP(Z504,[1]LicenseDuration_ID!$A$2:$B$8,2,FALSE)</f>
        <v>#N/A</v>
      </c>
      <c r="F504" s="1" t="e">
        <f>VLOOKUP(AA504,[1]MaintenanceDuration_ID!$A$2:$B$5,2,FALSE)</f>
        <v>#N/A</v>
      </c>
      <c r="G504" s="1" t="e">
        <f>VLOOKUP(V504,[1]ExpectedDeliveryTime_ID!$A$2:$B$12,2,FALSE)</f>
        <v>#N/A</v>
      </c>
      <c r="H504" s="1" t="e">
        <f>VLOOKUP(AC504,[1]PaymentModel_ID!$A$2:$B$7,2,FALSE)</f>
        <v>#N/A</v>
      </c>
      <c r="I504" s="1" t="e">
        <f>VLOOKUP(W504,[1]ExpectedInvoiceDate_ID!$A$2:$B$12,2,FALSE)</f>
        <v>#N/A</v>
      </c>
      <c r="J504" s="1" t="e">
        <f>VLOOKUP(X504,[1]GrantOfRights_ID!$A$2:$B$7,2,FALSE)</f>
        <v>#N/A</v>
      </c>
      <c r="K504" s="1" t="str">
        <f>VLOOKUP(AE504,[1]Profile!$A$2:$B$8,2,FALSE)</f>
        <v>License</v>
      </c>
      <c r="M504" s="1" t="str">
        <f>VLOOKUP(Y504,[1]License_Method_ID!$A$2:$B$13,2,FALSE)</f>
        <v>no technical license protection</v>
      </c>
      <c r="N504" s="1" t="s">
        <v>47</v>
      </c>
      <c r="O504" s="1">
        <v>10</v>
      </c>
      <c r="P504" s="1">
        <v>50</v>
      </c>
      <c r="Q504" s="1" t="str">
        <f>VLOOKUP(AB504,[1]Operational_Profit_Type_ID!$A$2:$B$3,2,FALSE)</f>
        <v>Fix rate</v>
      </c>
      <c r="R504" s="1" t="s">
        <v>48</v>
      </c>
      <c r="T504" s="1" t="str">
        <f>VLOOKUP(AD504,[1]UpdateRightID!$A$2:$B$4,2,FALSE)</f>
        <v>none</v>
      </c>
      <c r="U504" s="1" t="s">
        <v>48</v>
      </c>
      <c r="Y504" s="1">
        <v>0</v>
      </c>
      <c r="AB504" s="1">
        <v>1</v>
      </c>
      <c r="AD504" s="1">
        <v>0</v>
      </c>
      <c r="AE504" s="1">
        <v>1</v>
      </c>
    </row>
    <row r="505" spans="1:31" ht="150">
      <c r="B505" s="1" t="s">
        <v>1346</v>
      </c>
      <c r="C505" t="s">
        <v>1347</v>
      </c>
      <c r="D505" s="1" t="s">
        <v>1125</v>
      </c>
      <c r="E505" s="1" t="e">
        <f>VLOOKUP(Z505,[1]LicenseDuration_ID!$A$2:$B$8,2,FALSE)</f>
        <v>#N/A</v>
      </c>
      <c r="F505" s="1" t="e">
        <f>VLOOKUP(AA505,[1]MaintenanceDuration_ID!$A$2:$B$5,2,FALSE)</f>
        <v>#N/A</v>
      </c>
      <c r="G505" s="1" t="e">
        <f>VLOOKUP(V505,[1]ExpectedDeliveryTime_ID!$A$2:$B$12,2,FALSE)</f>
        <v>#N/A</v>
      </c>
      <c r="H505" s="1" t="e">
        <f>VLOOKUP(AC505,[1]PaymentModel_ID!$A$2:$B$7,2,FALSE)</f>
        <v>#N/A</v>
      </c>
      <c r="I505" s="1" t="e">
        <f>VLOOKUP(W505,[1]ExpectedInvoiceDate_ID!$A$2:$B$12,2,FALSE)</f>
        <v>#N/A</v>
      </c>
      <c r="J505" s="1" t="e">
        <f>VLOOKUP(X505,[1]GrantOfRights_ID!$A$2:$B$7,2,FALSE)</f>
        <v>#N/A</v>
      </c>
      <c r="K505" s="1" t="str">
        <f>VLOOKUP(AE505,[1]Profile!$A$2:$B$8,2,FALSE)</f>
        <v>License</v>
      </c>
      <c r="M505" s="1" t="str">
        <f>VLOOKUP(Y505,[1]License_Method_ID!$A$2:$B$13,2,FALSE)</f>
        <v>no technical license protection</v>
      </c>
      <c r="N505" s="1" t="s">
        <v>47</v>
      </c>
      <c r="O505" s="1">
        <v>10</v>
      </c>
      <c r="P505" s="1">
        <v>50</v>
      </c>
      <c r="Q505" s="1" t="str">
        <f>VLOOKUP(AB505,[1]Operational_Profit_Type_ID!$A$2:$B$3,2,FALSE)</f>
        <v>Fix rate</v>
      </c>
      <c r="R505" s="1" t="s">
        <v>48</v>
      </c>
      <c r="T505" s="1" t="str">
        <f>VLOOKUP(AD505,[1]UpdateRightID!$A$2:$B$4,2,FALSE)</f>
        <v>none</v>
      </c>
      <c r="U505" s="1" t="s">
        <v>48</v>
      </c>
      <c r="Y505" s="1">
        <v>0</v>
      </c>
      <c r="AB505" s="1">
        <v>1</v>
      </c>
      <c r="AD505" s="1">
        <v>0</v>
      </c>
      <c r="AE505" s="1">
        <v>1</v>
      </c>
    </row>
    <row r="506" spans="1:31" ht="150">
      <c r="B506" s="1" t="s">
        <v>1348</v>
      </c>
      <c r="C506" t="s">
        <v>1349</v>
      </c>
      <c r="D506" s="1" t="s">
        <v>1125</v>
      </c>
      <c r="E506" s="1" t="e">
        <f>VLOOKUP(Z506,[1]LicenseDuration_ID!$A$2:$B$8,2,FALSE)</f>
        <v>#N/A</v>
      </c>
      <c r="F506" s="1" t="e">
        <f>VLOOKUP(AA506,[1]MaintenanceDuration_ID!$A$2:$B$5,2,FALSE)</f>
        <v>#N/A</v>
      </c>
      <c r="G506" s="1" t="e">
        <f>VLOOKUP(V506,[1]ExpectedDeliveryTime_ID!$A$2:$B$12,2,FALSE)</f>
        <v>#N/A</v>
      </c>
      <c r="H506" s="1" t="e">
        <f>VLOOKUP(AC506,[1]PaymentModel_ID!$A$2:$B$7,2,FALSE)</f>
        <v>#N/A</v>
      </c>
      <c r="I506" s="1" t="e">
        <f>VLOOKUP(W506,[1]ExpectedInvoiceDate_ID!$A$2:$B$12,2,FALSE)</f>
        <v>#N/A</v>
      </c>
      <c r="J506" s="1" t="e">
        <f>VLOOKUP(X506,[1]GrantOfRights_ID!$A$2:$B$7,2,FALSE)</f>
        <v>#N/A</v>
      </c>
      <c r="K506" s="1" t="str">
        <f>VLOOKUP(AE506,[1]Profile!$A$2:$B$8,2,FALSE)</f>
        <v>License</v>
      </c>
      <c r="M506" s="1" t="str">
        <f>VLOOKUP(Y506,[1]License_Method_ID!$A$2:$B$13,2,FALSE)</f>
        <v>no technical license protection</v>
      </c>
      <c r="N506" s="1" t="s">
        <v>47</v>
      </c>
      <c r="O506" s="1">
        <v>10</v>
      </c>
      <c r="P506" s="1">
        <v>50</v>
      </c>
      <c r="Q506" s="1" t="str">
        <f>VLOOKUP(AB506,[1]Operational_Profit_Type_ID!$A$2:$B$3,2,FALSE)</f>
        <v>Fix rate</v>
      </c>
      <c r="R506" s="1" t="s">
        <v>48</v>
      </c>
      <c r="T506" s="1" t="str">
        <f>VLOOKUP(AD506,[1]UpdateRightID!$A$2:$B$4,2,FALSE)</f>
        <v>none</v>
      </c>
      <c r="U506" s="1" t="s">
        <v>48</v>
      </c>
      <c r="Y506" s="1">
        <v>0</v>
      </c>
      <c r="AB506" s="1">
        <v>1</v>
      </c>
      <c r="AD506" s="1">
        <v>0</v>
      </c>
      <c r="AE506" s="1">
        <v>1</v>
      </c>
    </row>
    <row r="507" spans="1:31" ht="60">
      <c r="B507" s="1" t="s">
        <v>1350</v>
      </c>
      <c r="C507" t="s">
        <v>1351</v>
      </c>
      <c r="D507" s="1" t="s">
        <v>963</v>
      </c>
      <c r="E507" s="1" t="e">
        <f>VLOOKUP(Z507,[1]LicenseDuration_ID!$A$2:$B$8,2,FALSE)</f>
        <v>#N/A</v>
      </c>
      <c r="F507" s="1" t="e">
        <f>VLOOKUP(AA507,[1]MaintenanceDuration_ID!$A$2:$B$5,2,FALSE)</f>
        <v>#N/A</v>
      </c>
      <c r="G507" s="1" t="e">
        <f>VLOOKUP(V507,[1]ExpectedDeliveryTime_ID!$A$2:$B$12,2,FALSE)</f>
        <v>#N/A</v>
      </c>
      <c r="H507" s="1" t="e">
        <f>VLOOKUP(AC507,[1]PaymentModel_ID!$A$2:$B$7,2,FALSE)</f>
        <v>#N/A</v>
      </c>
      <c r="I507" s="1" t="e">
        <f>VLOOKUP(W507,[1]ExpectedInvoiceDate_ID!$A$2:$B$12,2,FALSE)</f>
        <v>#N/A</v>
      </c>
      <c r="J507" s="1" t="e">
        <f>VLOOKUP(X507,[1]GrantOfRights_ID!$A$2:$B$7,2,FALSE)</f>
        <v>#N/A</v>
      </c>
      <c r="K507" s="1" t="str">
        <f>VLOOKUP(AE507,[1]Profile!$A$2:$B$8,2,FALSE)</f>
        <v>Porting</v>
      </c>
      <c r="M507" s="1" t="str">
        <f>VLOOKUP(Y507,[1]License_Method_ID!$A$2:$B$13,2,FALSE)</f>
        <v>no technical license protection</v>
      </c>
      <c r="N507" s="1" t="s">
        <v>88</v>
      </c>
      <c r="O507" s="1">
        <v>10</v>
      </c>
      <c r="P507" s="1">
        <v>0</v>
      </c>
      <c r="Q507" s="1" t="str">
        <f>VLOOKUP(AB507,[1]Operational_Profit_Type_ID!$A$2:$B$3,2,FALSE)</f>
        <v>Calculated</v>
      </c>
      <c r="R507" s="1" t="s">
        <v>55</v>
      </c>
      <c r="S507" s="1">
        <v>0</v>
      </c>
      <c r="T507" s="1" t="str">
        <f>VLOOKUP(AD507,[1]UpdateRightID!$A$2:$B$4,2,FALSE)</f>
        <v>none</v>
      </c>
      <c r="U507" s="1" t="s">
        <v>48</v>
      </c>
      <c r="Y507" s="1">
        <v>0</v>
      </c>
      <c r="AB507" s="1">
        <v>2</v>
      </c>
      <c r="AD507" s="1">
        <v>0</v>
      </c>
      <c r="AE507" s="1">
        <v>4</v>
      </c>
    </row>
    <row r="508" spans="1:31" ht="45">
      <c r="B508" s="1" t="s">
        <v>1352</v>
      </c>
      <c r="C508" t="s">
        <v>1353</v>
      </c>
      <c r="D508" s="1" t="s">
        <v>966</v>
      </c>
      <c r="E508" s="1" t="e">
        <f>VLOOKUP(Z508,[1]LicenseDuration_ID!$A$2:$B$8,2,FALSE)</f>
        <v>#N/A</v>
      </c>
      <c r="F508" s="1" t="e">
        <f>VLOOKUP(AA508,[1]MaintenanceDuration_ID!$A$2:$B$5,2,FALSE)</f>
        <v>#N/A</v>
      </c>
      <c r="G508" s="1" t="e">
        <f>VLOOKUP(V508,[1]ExpectedDeliveryTime_ID!$A$2:$B$12,2,FALSE)</f>
        <v>#N/A</v>
      </c>
      <c r="H508" s="1" t="e">
        <f>VLOOKUP(AC508,[1]PaymentModel_ID!$A$2:$B$7,2,FALSE)</f>
        <v>#N/A</v>
      </c>
      <c r="I508" s="1" t="e">
        <f>VLOOKUP(W508,[1]ExpectedInvoiceDate_ID!$A$2:$B$12,2,FALSE)</f>
        <v>#N/A</v>
      </c>
      <c r="J508" s="1" t="e">
        <f>VLOOKUP(X508,[1]GrantOfRights_ID!$A$2:$B$7,2,FALSE)</f>
        <v>#N/A</v>
      </c>
      <c r="K508" s="1" t="str">
        <f>VLOOKUP(AE508,[1]Profile!$A$2:$B$8,2,FALSE)</f>
        <v>Porting</v>
      </c>
      <c r="M508" s="1" t="str">
        <f>VLOOKUP(Y508,[1]License_Method_ID!$A$2:$B$13,2,FALSE)</f>
        <v>no technical license protection</v>
      </c>
      <c r="N508" s="1" t="s">
        <v>88</v>
      </c>
      <c r="O508" s="1">
        <v>10</v>
      </c>
      <c r="P508" s="1">
        <v>0</v>
      </c>
      <c r="Q508" s="1" t="str">
        <f>VLOOKUP(AB508,[1]Operational_Profit_Type_ID!$A$2:$B$3,2,FALSE)</f>
        <v>Calculated</v>
      </c>
      <c r="R508" s="1" t="s">
        <v>55</v>
      </c>
      <c r="S508" s="1">
        <v>0</v>
      </c>
      <c r="T508" s="1" t="str">
        <f>VLOOKUP(AD508,[1]UpdateRightID!$A$2:$B$4,2,FALSE)</f>
        <v>none</v>
      </c>
      <c r="U508" s="1" t="s">
        <v>48</v>
      </c>
      <c r="Y508" s="1">
        <v>0</v>
      </c>
      <c r="AB508" s="1">
        <v>2</v>
      </c>
      <c r="AD508" s="1">
        <v>0</v>
      </c>
      <c r="AE508" s="1">
        <v>4</v>
      </c>
    </row>
    <row r="509" spans="1:31" ht="45">
      <c r="B509" s="1" t="s">
        <v>1354</v>
      </c>
      <c r="C509" t="s">
        <v>1355</v>
      </c>
      <c r="D509" s="1" t="s">
        <v>969</v>
      </c>
      <c r="E509" s="1" t="e">
        <f>VLOOKUP(Z509,[1]LicenseDuration_ID!$A$2:$B$8,2,FALSE)</f>
        <v>#N/A</v>
      </c>
      <c r="F509" s="1" t="e">
        <f>VLOOKUP(AA509,[1]MaintenanceDuration_ID!$A$2:$B$5,2,FALSE)</f>
        <v>#N/A</v>
      </c>
      <c r="G509" s="1" t="e">
        <f>VLOOKUP(V509,[1]ExpectedDeliveryTime_ID!$A$2:$B$12,2,FALSE)</f>
        <v>#N/A</v>
      </c>
      <c r="H509" s="1" t="e">
        <f>VLOOKUP(AC509,[1]PaymentModel_ID!$A$2:$B$7,2,FALSE)</f>
        <v>#N/A</v>
      </c>
      <c r="I509" s="1" t="e">
        <f>VLOOKUP(W509,[1]ExpectedInvoiceDate_ID!$A$2:$B$12,2,FALSE)</f>
        <v>#N/A</v>
      </c>
      <c r="J509" s="1" t="e">
        <f>VLOOKUP(X509,[1]GrantOfRights_ID!$A$2:$B$7,2,FALSE)</f>
        <v>#N/A</v>
      </c>
      <c r="K509" s="1" t="str">
        <f>VLOOKUP(AE509,[1]Profile!$A$2:$B$8,2,FALSE)</f>
        <v>Porting</v>
      </c>
      <c r="M509" s="1" t="str">
        <f>VLOOKUP(Y509,[1]License_Method_ID!$A$2:$B$13,2,FALSE)</f>
        <v>no technical license protection</v>
      </c>
      <c r="N509" s="1" t="s">
        <v>88</v>
      </c>
      <c r="O509" s="1">
        <v>10</v>
      </c>
      <c r="P509" s="1">
        <v>0</v>
      </c>
      <c r="Q509" s="1" t="str">
        <f>VLOOKUP(AB509,[1]Operational_Profit_Type_ID!$A$2:$B$3,2,FALSE)</f>
        <v>Calculated</v>
      </c>
      <c r="R509" s="1" t="s">
        <v>55</v>
      </c>
      <c r="S509" s="1">
        <v>0</v>
      </c>
      <c r="T509" s="1" t="str">
        <f>VLOOKUP(AD509,[1]UpdateRightID!$A$2:$B$4,2,FALSE)</f>
        <v>none</v>
      </c>
      <c r="U509" s="1" t="s">
        <v>48</v>
      </c>
      <c r="Y509" s="1">
        <v>0</v>
      </c>
      <c r="AB509" s="1">
        <v>2</v>
      </c>
      <c r="AD509" s="1">
        <v>0</v>
      </c>
      <c r="AE509" s="1">
        <v>4</v>
      </c>
    </row>
    <row r="510" spans="1:31" ht="45">
      <c r="B510" s="1" t="s">
        <v>1356</v>
      </c>
      <c r="C510" t="s">
        <v>1357</v>
      </c>
      <c r="D510" s="1" t="s">
        <v>972</v>
      </c>
      <c r="E510" s="1" t="e">
        <f>VLOOKUP(Z510,[1]LicenseDuration_ID!$A$2:$B$8,2,FALSE)</f>
        <v>#N/A</v>
      </c>
      <c r="F510" s="1" t="e">
        <f>VLOOKUP(AA510,[1]MaintenanceDuration_ID!$A$2:$B$5,2,FALSE)</f>
        <v>#N/A</v>
      </c>
      <c r="G510" s="1" t="e">
        <f>VLOOKUP(V510,[1]ExpectedDeliveryTime_ID!$A$2:$B$12,2,FALSE)</f>
        <v>#N/A</v>
      </c>
      <c r="H510" s="1" t="e">
        <f>VLOOKUP(AC510,[1]PaymentModel_ID!$A$2:$B$7,2,FALSE)</f>
        <v>#N/A</v>
      </c>
      <c r="I510" s="1" t="e">
        <f>VLOOKUP(W510,[1]ExpectedInvoiceDate_ID!$A$2:$B$12,2,FALSE)</f>
        <v>#N/A</v>
      </c>
      <c r="J510" s="1" t="e">
        <f>VLOOKUP(X510,[1]GrantOfRights_ID!$A$2:$B$7,2,FALSE)</f>
        <v>#N/A</v>
      </c>
      <c r="K510" s="1" t="str">
        <f>VLOOKUP(AE510,[1]Profile!$A$2:$B$8,2,FALSE)</f>
        <v>Porting</v>
      </c>
      <c r="M510" s="1" t="str">
        <f>VLOOKUP(Y510,[1]License_Method_ID!$A$2:$B$13,2,FALSE)</f>
        <v>no technical license protection</v>
      </c>
      <c r="N510" s="1" t="s">
        <v>88</v>
      </c>
      <c r="O510" s="1">
        <v>10</v>
      </c>
      <c r="P510" s="1">
        <v>0</v>
      </c>
      <c r="Q510" s="1" t="str">
        <f>VLOOKUP(AB510,[1]Operational_Profit_Type_ID!$A$2:$B$3,2,FALSE)</f>
        <v>Calculated</v>
      </c>
      <c r="R510" s="1" t="s">
        <v>55</v>
      </c>
      <c r="S510" s="1">
        <v>0</v>
      </c>
      <c r="T510" s="1" t="str">
        <f>VLOOKUP(AD510,[1]UpdateRightID!$A$2:$B$4,2,FALSE)</f>
        <v>none</v>
      </c>
      <c r="U510" s="1" t="s">
        <v>48</v>
      </c>
      <c r="Y510" s="1">
        <v>0</v>
      </c>
      <c r="AB510" s="1">
        <v>2</v>
      </c>
      <c r="AD510" s="1">
        <v>0</v>
      </c>
      <c r="AE510" s="1">
        <v>4</v>
      </c>
    </row>
    <row r="511" spans="1:31" ht="45">
      <c r="B511" s="1" t="s">
        <v>1358</v>
      </c>
      <c r="C511" t="s">
        <v>1359</v>
      </c>
      <c r="D511" s="1" t="s">
        <v>975</v>
      </c>
      <c r="E511" s="1" t="e">
        <f>VLOOKUP(Z511,[1]LicenseDuration_ID!$A$2:$B$8,2,FALSE)</f>
        <v>#N/A</v>
      </c>
      <c r="F511" s="1" t="e">
        <f>VLOOKUP(AA511,[1]MaintenanceDuration_ID!$A$2:$B$5,2,FALSE)</f>
        <v>#N/A</v>
      </c>
      <c r="G511" s="1" t="e">
        <f>VLOOKUP(V511,[1]ExpectedDeliveryTime_ID!$A$2:$B$12,2,FALSE)</f>
        <v>#N/A</v>
      </c>
      <c r="H511" s="1" t="e">
        <f>VLOOKUP(AC511,[1]PaymentModel_ID!$A$2:$B$7,2,FALSE)</f>
        <v>#N/A</v>
      </c>
      <c r="I511" s="1" t="e">
        <f>VLOOKUP(W511,[1]ExpectedInvoiceDate_ID!$A$2:$B$12,2,FALSE)</f>
        <v>#N/A</v>
      </c>
      <c r="J511" s="1" t="e">
        <f>VLOOKUP(X511,[1]GrantOfRights_ID!$A$2:$B$7,2,FALSE)</f>
        <v>#N/A</v>
      </c>
      <c r="K511" s="1" t="str">
        <f>VLOOKUP(AE511,[1]Profile!$A$2:$B$8,2,FALSE)</f>
        <v>Porting</v>
      </c>
      <c r="M511" s="1" t="str">
        <f>VLOOKUP(Y511,[1]License_Method_ID!$A$2:$B$13,2,FALSE)</f>
        <v>no technical license protection</v>
      </c>
      <c r="N511" s="1" t="s">
        <v>88</v>
      </c>
      <c r="O511" s="1">
        <v>10</v>
      </c>
      <c r="P511" s="1">
        <v>0</v>
      </c>
      <c r="Q511" s="1" t="str">
        <f>VLOOKUP(AB511,[1]Operational_Profit_Type_ID!$A$2:$B$3,2,FALSE)</f>
        <v>Calculated</v>
      </c>
      <c r="R511" s="1" t="s">
        <v>55</v>
      </c>
      <c r="S511" s="1">
        <v>0</v>
      </c>
      <c r="T511" s="1" t="str">
        <f>VLOOKUP(AD511,[1]UpdateRightID!$A$2:$B$4,2,FALSE)</f>
        <v>none</v>
      </c>
      <c r="U511" s="1" t="s">
        <v>48</v>
      </c>
      <c r="Y511" s="1">
        <v>0</v>
      </c>
      <c r="AB511" s="1">
        <v>2</v>
      </c>
      <c r="AD511" s="1">
        <v>0</v>
      </c>
      <c r="AE511" s="1">
        <v>4</v>
      </c>
    </row>
    <row r="512" spans="1:31" ht="75">
      <c r="A512" s="1" t="s">
        <v>43</v>
      </c>
      <c r="B512" s="1" t="s">
        <v>1360</v>
      </c>
      <c r="C512" t="s">
        <v>1361</v>
      </c>
      <c r="D512" s="1" t="s">
        <v>1362</v>
      </c>
      <c r="E512" s="1" t="str">
        <f>VLOOKUP(Z512,[1]LicenseDuration_ID!$A$2:$B$8,2,FALSE)</f>
        <v>perpetual</v>
      </c>
      <c r="F512" s="1" t="str">
        <f>VLOOKUP(AA512,[1]MaintenanceDuration_ID!$A$2:$B$5,2,FALSE)</f>
        <v>n/a</v>
      </c>
      <c r="G512" s="1" t="str">
        <f>VLOOKUP(V512,[1]ExpectedDeliveryTime_ID!$A$2:$B$12,2,FALSE)</f>
        <v>FINALIZED PURCHASE PROCESS + 2 weeks</v>
      </c>
      <c r="H512" s="1" t="str">
        <f>VLOOKUP(AC512,[1]PaymentModel_ID!$A$2:$B$7,2,FALSE)</f>
        <v>One-time payment</v>
      </c>
      <c r="I512" s="1" t="str">
        <f>VLOOKUP(W512,[1]ExpectedInvoiceDate_ID!$A$2:$B$12,2,FALSE)</f>
        <v>With FINAL DELIVERY</v>
      </c>
      <c r="J512" s="1" t="str">
        <f>VLOOKUP(X512,[1]GrantOfRights_ID!$A$2:$B$7,2,FALSE)</f>
        <v>n/a</v>
      </c>
      <c r="K512" s="1" t="str">
        <f>VLOOKUP(AE512,[1]Profile!$A$2:$B$8,2,FALSE)</f>
        <v>License</v>
      </c>
      <c r="M512" s="1" t="str">
        <f>VLOOKUP(Y512,[1]License_Method_ID!$A$2:$B$13,2,FALSE)</f>
        <v>no technical license protection</v>
      </c>
      <c r="N512" s="1" t="s">
        <v>47</v>
      </c>
      <c r="O512" s="1">
        <v>10</v>
      </c>
      <c r="Q512" s="1" t="str">
        <f>VLOOKUP(AB512,[1]Operational_Profit_Type_ID!$A$2:$B$3,2,FALSE)</f>
        <v>Calculated</v>
      </c>
      <c r="R512" s="1" t="s">
        <v>48</v>
      </c>
      <c r="T512" s="1" t="str">
        <f>VLOOKUP(AD512,[1]UpdateRightID!$A$2:$B$4,2,FALSE)</f>
        <v>none</v>
      </c>
      <c r="U512" s="1" t="s">
        <v>48</v>
      </c>
      <c r="V512" s="1">
        <v>2</v>
      </c>
      <c r="W512" s="1">
        <v>7</v>
      </c>
      <c r="X512" s="1">
        <v>1</v>
      </c>
      <c r="Y512" s="1">
        <v>0</v>
      </c>
      <c r="Z512" s="1">
        <v>6</v>
      </c>
      <c r="AA512" s="1">
        <v>1</v>
      </c>
      <c r="AB512" s="1">
        <v>2</v>
      </c>
      <c r="AC512" s="1">
        <v>2</v>
      </c>
      <c r="AD512" s="1">
        <v>0</v>
      </c>
      <c r="AE512" s="1">
        <v>1</v>
      </c>
    </row>
    <row r="513" spans="1:31" ht="75">
      <c r="A513" s="1" t="s">
        <v>43</v>
      </c>
      <c r="B513" s="1" t="s">
        <v>1363</v>
      </c>
      <c r="C513" t="s">
        <v>1364</v>
      </c>
      <c r="E513" s="1" t="str">
        <f>VLOOKUP(Z513,[1]LicenseDuration_ID!$A$2:$B$8,2,FALSE)</f>
        <v>n/a</v>
      </c>
      <c r="F513" s="1" t="str">
        <f>VLOOKUP(AA513,[1]MaintenanceDuration_ID!$A$2:$B$5,2,FALSE)</f>
        <v>n/a</v>
      </c>
      <c r="G513" s="1" t="str">
        <f>VLOOKUP(V513,[1]ExpectedDeliveryTime_ID!$A$2:$B$12,2,FALSE)</f>
        <v>In mutual alignment with the project</v>
      </c>
      <c r="H513" s="1" t="str">
        <f>VLOOKUP(AC513,[1]PaymentModel_ID!$A$2:$B$7,2,FALSE)</f>
        <v>Monthly based on effort</v>
      </c>
      <c r="I513" s="1" t="str">
        <f>VLOOKUP(W513,[1]ExpectedInvoiceDate_ID!$A$2:$B$12,2,FALSE)</f>
        <v>Monthly based on effort</v>
      </c>
      <c r="J513" s="1" t="str">
        <f>VLOOKUP(X513,[1]GrantOfRights_ID!$A$2:$B$7,2,FALSE)</f>
        <v>n/a</v>
      </c>
      <c r="K513" s="1" t="str">
        <f>VLOOKUP(AE513,[1]Profile!$A$2:$B$8,2,FALSE)</f>
        <v>Product related service without profile</v>
      </c>
      <c r="M513" s="1" t="str">
        <f>VLOOKUP(Y513,[1]License_Method_ID!$A$2:$B$13,2,FALSE)</f>
        <v>no technical license protection</v>
      </c>
      <c r="N513" s="1" t="s">
        <v>1365</v>
      </c>
      <c r="O513" s="1">
        <v>0</v>
      </c>
      <c r="Q513" s="1" t="str">
        <f>VLOOKUP(AB513,[1]Operational_Profit_Type_ID!$A$2:$B$3,2,FALSE)</f>
        <v>Calculated</v>
      </c>
      <c r="R513" s="1" t="s">
        <v>55</v>
      </c>
      <c r="T513" s="1" t="str">
        <f>VLOOKUP(AD513,[1]UpdateRightID!$A$2:$B$4,2,FALSE)</f>
        <v>none</v>
      </c>
      <c r="U513" s="1" t="s">
        <v>48</v>
      </c>
      <c r="V513" s="1">
        <v>18</v>
      </c>
      <c r="W513" s="1">
        <v>4</v>
      </c>
      <c r="X513" s="1">
        <v>1</v>
      </c>
      <c r="Y513" s="1">
        <v>0</v>
      </c>
      <c r="Z513" s="1">
        <v>1</v>
      </c>
      <c r="AA513" s="1">
        <v>1</v>
      </c>
      <c r="AB513" s="1">
        <v>2</v>
      </c>
      <c r="AC513" s="1">
        <v>5</v>
      </c>
      <c r="AD513" s="1">
        <v>0</v>
      </c>
      <c r="AE513" s="1">
        <v>0</v>
      </c>
    </row>
    <row r="514" spans="1:31" ht="180">
      <c r="A514" s="1" t="s">
        <v>43</v>
      </c>
      <c r="B514" s="1" t="s">
        <v>1366</v>
      </c>
      <c r="C514" t="s">
        <v>1367</v>
      </c>
      <c r="D514" s="1" t="s">
        <v>1368</v>
      </c>
      <c r="E514" s="1" t="str">
        <f>VLOOKUP(Z514,[1]LicenseDuration_ID!$A$2:$B$8,2,FALSE)</f>
        <v>n/a</v>
      </c>
      <c r="F514" s="1" t="str">
        <f>VLOOKUP(AA514,[1]MaintenanceDuration_ID!$A$2:$B$5,2,FALSE)</f>
        <v>12 months</v>
      </c>
      <c r="G514" s="1" t="str">
        <f>VLOOKUP(V514,[1]ExpectedDeliveryTime_ID!$A$2:$B$12,2,FALSE)</f>
        <v>n/a</v>
      </c>
      <c r="H514" s="1" t="str">
        <f>VLOOKUP(AC514,[1]PaymentModel_ID!$A$2:$B$7,2,FALSE)</f>
        <v>Annual payment</v>
      </c>
      <c r="I514" s="1" t="str">
        <f>VLOOKUP(W514,[1]ExpectedInvoiceDate_ID!$A$2:$B$12,2,FALSE)</f>
        <v>Anually at the beginning of the extended period</v>
      </c>
      <c r="J514" s="1" t="str">
        <f>VLOOKUP(X514,[1]GrantOfRights_ID!$A$2:$B$7,2,FALSE)</f>
        <v>n/a</v>
      </c>
      <c r="K514" s="1" t="str">
        <f>VLOOKUP(AE514,[1]Profile!$A$2:$B$8,2,FALSE)</f>
        <v>License</v>
      </c>
      <c r="M514" s="1" t="str">
        <f>VLOOKUP(Y514,[1]License_Method_ID!$A$2:$B$13,2,FALSE)</f>
        <v>no technical license protection</v>
      </c>
      <c r="N514" s="1" t="s">
        <v>47</v>
      </c>
      <c r="O514" s="1">
        <v>10</v>
      </c>
      <c r="P514" s="1">
        <v>50</v>
      </c>
      <c r="Q514" s="1" t="str">
        <f>VLOOKUP(AB514,[1]Operational_Profit_Type_ID!$A$2:$B$3,2,FALSE)</f>
        <v>Fix rate</v>
      </c>
      <c r="R514" s="1" t="s">
        <v>55</v>
      </c>
      <c r="T514" s="1" t="str">
        <f>VLOOKUP(AD514,[1]UpdateRightID!$A$2:$B$4,2,FALSE)</f>
        <v>TotalAmountAsUpdateRight</v>
      </c>
      <c r="U514" s="1" t="s">
        <v>48</v>
      </c>
      <c r="V514" s="1">
        <v>1</v>
      </c>
      <c r="W514" s="1">
        <v>2</v>
      </c>
      <c r="X514" s="1">
        <v>1</v>
      </c>
      <c r="Y514" s="1">
        <v>0</v>
      </c>
      <c r="Z514" s="1">
        <v>1</v>
      </c>
      <c r="AA514" s="1">
        <v>3</v>
      </c>
      <c r="AB514" s="1">
        <v>1</v>
      </c>
      <c r="AC514" s="1">
        <v>3</v>
      </c>
      <c r="AD514" s="1">
        <v>2</v>
      </c>
      <c r="AE514" s="1">
        <v>1</v>
      </c>
    </row>
    <row r="515" spans="1:31" ht="30">
      <c r="A515" s="1" t="s">
        <v>43</v>
      </c>
      <c r="B515" s="1" t="s">
        <v>1369</v>
      </c>
      <c r="C515" t="s">
        <v>1370</v>
      </c>
      <c r="D515" s="1" t="s">
        <v>1371</v>
      </c>
      <c r="E515" s="1" t="str">
        <f>VLOOKUP(Z515,[1]LicenseDuration_ID!$A$2:$B$8,2,FALSE)</f>
        <v>n/a</v>
      </c>
      <c r="F515" s="1" t="str">
        <f>VLOOKUP(AA515,[1]MaintenanceDuration_ID!$A$2:$B$5,2,FALSE)</f>
        <v>n/a</v>
      </c>
      <c r="G515" s="1" t="str">
        <f>VLOOKUP(V515,[1]ExpectedDeliveryTime_ID!$A$2:$B$12,2,FALSE)</f>
        <v>In mutual alignment with the project</v>
      </c>
      <c r="H515" s="1" t="str">
        <f>VLOOKUP(AC515,[1]PaymentModel_ID!$A$2:$B$7,2,FALSE)</f>
        <v>One-time payment</v>
      </c>
      <c r="I515" s="1" t="str">
        <f>VLOOKUP(W515,[1]ExpectedInvoiceDate_ID!$A$2:$B$12,2,FALSE)</f>
        <v>With FINAL DELIVERY</v>
      </c>
      <c r="J515" s="1" t="str">
        <f>VLOOKUP(X515,[1]GrantOfRights_ID!$A$2:$B$7,2,FALSE)</f>
        <v>n/a</v>
      </c>
      <c r="K515" s="1" t="str">
        <f>VLOOKUP(AE515,[1]Profile!$A$2:$B$8,2,FALSE)</f>
        <v>Integration Package</v>
      </c>
      <c r="M515" s="1" t="str">
        <f>VLOOKUP(Y515,[1]License_Method_ID!$A$2:$B$13,2,FALSE)</f>
        <v>no technical license protection</v>
      </c>
      <c r="N515" s="1" t="s">
        <v>1365</v>
      </c>
      <c r="O515" s="1">
        <v>10</v>
      </c>
      <c r="Q515" s="1" t="str">
        <f>VLOOKUP(AB515,[1]Operational_Profit_Type_ID!$A$2:$B$3,2,FALSE)</f>
        <v>Calculated</v>
      </c>
      <c r="R515" s="1" t="s">
        <v>55</v>
      </c>
      <c r="T515" s="1" t="str">
        <f>VLOOKUP(AD515,[1]UpdateRightID!$A$2:$B$4,2,FALSE)</f>
        <v>none</v>
      </c>
      <c r="U515" s="1" t="s">
        <v>48</v>
      </c>
      <c r="V515" s="1">
        <v>18</v>
      </c>
      <c r="W515" s="1">
        <v>7</v>
      </c>
      <c r="X515" s="1">
        <v>1</v>
      </c>
      <c r="Y515" s="1">
        <v>0</v>
      </c>
      <c r="Z515" s="1">
        <v>1</v>
      </c>
      <c r="AA515" s="1">
        <v>1</v>
      </c>
      <c r="AB515" s="1">
        <v>2</v>
      </c>
      <c r="AC515" s="1">
        <v>2</v>
      </c>
      <c r="AD515" s="1">
        <v>0</v>
      </c>
      <c r="AE515" s="1">
        <v>2</v>
      </c>
    </row>
    <row r="516" spans="1:31" ht="45">
      <c r="A516" s="1" t="s">
        <v>43</v>
      </c>
      <c r="B516" s="1" t="s">
        <v>1372</v>
      </c>
      <c r="C516" t="s">
        <v>1373</v>
      </c>
      <c r="D516" s="1" t="s">
        <v>1374</v>
      </c>
      <c r="E516" s="1" t="str">
        <f>VLOOKUP(Z516,[1]LicenseDuration_ID!$A$2:$B$8,2,FALSE)</f>
        <v>n/a</v>
      </c>
      <c r="F516" s="1" t="str">
        <f>VLOOKUP(AA516,[1]MaintenanceDuration_ID!$A$2:$B$5,2,FALSE)</f>
        <v>n/a</v>
      </c>
      <c r="G516" s="1" t="str">
        <f>VLOOKUP(V516,[1]ExpectedDeliveryTime_ID!$A$2:$B$12,2,FALSE)</f>
        <v>In mutual alignment with the project</v>
      </c>
      <c r="H516" s="1" t="str">
        <f>VLOOKUP(AC516,[1]PaymentModel_ID!$A$2:$B$7,2,FALSE)</f>
        <v>One-time payment</v>
      </c>
      <c r="I516" s="1" t="str">
        <f>VLOOKUP(W516,[1]ExpectedInvoiceDate_ID!$A$2:$B$12,2,FALSE)</f>
        <v>With FINAL DELIVERY</v>
      </c>
      <c r="J516" s="1" t="str">
        <f>VLOOKUP(X516,[1]GrantOfRights_ID!$A$2:$B$7,2,FALSE)</f>
        <v>n/a</v>
      </c>
      <c r="K516" s="1" t="str">
        <f>VLOOKUP(AE516,[1]Profile!$A$2:$B$8,2,FALSE)</f>
        <v>Integration Package</v>
      </c>
      <c r="M516" s="1" t="str">
        <f>VLOOKUP(Y516,[1]License_Method_ID!$A$2:$B$13,2,FALSE)</f>
        <v>no technical license protection</v>
      </c>
      <c r="N516" s="1" t="s">
        <v>1365</v>
      </c>
      <c r="O516" s="1">
        <v>10</v>
      </c>
      <c r="Q516" s="1" t="str">
        <f>VLOOKUP(AB516,[1]Operational_Profit_Type_ID!$A$2:$B$3,2,FALSE)</f>
        <v>Calculated</v>
      </c>
      <c r="R516" s="1" t="s">
        <v>55</v>
      </c>
      <c r="T516" s="1" t="str">
        <f>VLOOKUP(AD516,[1]UpdateRightID!$A$2:$B$4,2,FALSE)</f>
        <v>none</v>
      </c>
      <c r="U516" s="1" t="s">
        <v>48</v>
      </c>
      <c r="V516" s="1">
        <v>18</v>
      </c>
      <c r="W516" s="1">
        <v>7</v>
      </c>
      <c r="X516" s="1">
        <v>1</v>
      </c>
      <c r="Y516" s="1">
        <v>0</v>
      </c>
      <c r="Z516" s="1">
        <v>1</v>
      </c>
      <c r="AA516" s="1">
        <v>1</v>
      </c>
      <c r="AB516" s="1">
        <v>2</v>
      </c>
      <c r="AC516" s="1">
        <v>2</v>
      </c>
      <c r="AD516" s="1">
        <v>0</v>
      </c>
      <c r="AE516" s="1">
        <v>2</v>
      </c>
    </row>
    <row r="517" spans="1:31" ht="30">
      <c r="A517" s="1" t="s">
        <v>43</v>
      </c>
      <c r="B517" s="1" t="s">
        <v>1375</v>
      </c>
      <c r="C517" t="s">
        <v>1376</v>
      </c>
      <c r="D517" s="1" t="s">
        <v>1377</v>
      </c>
      <c r="E517" s="1" t="str">
        <f>VLOOKUP(Z517,[1]LicenseDuration_ID!$A$2:$B$8,2,FALSE)</f>
        <v>perpetual</v>
      </c>
      <c r="F517" s="1" t="str">
        <f>VLOOKUP(AA517,[1]MaintenanceDuration_ID!$A$2:$B$5,2,FALSE)</f>
        <v>n/a</v>
      </c>
      <c r="G517" s="1" t="str">
        <f>VLOOKUP(V517,[1]ExpectedDeliveryTime_ID!$A$2:$B$12,2,FALSE)</f>
        <v>FINALIZED PURCHASE PROCESS + 2 weeks</v>
      </c>
      <c r="H517" s="1" t="str">
        <f>VLOOKUP(AC517,[1]PaymentModel_ID!$A$2:$B$7,2,FALSE)</f>
        <v>One-time payment</v>
      </c>
      <c r="I517" s="1" t="str">
        <f>VLOOKUP(W517,[1]ExpectedInvoiceDate_ID!$A$2:$B$12,2,FALSE)</f>
        <v>With FINAL DELIVERY</v>
      </c>
      <c r="J517" s="1" t="str">
        <f>VLOOKUP(X517,[1]GrantOfRights_ID!$A$2:$B$7,2,FALSE)</f>
        <v>Elektrobit Tooling Licence</v>
      </c>
      <c r="K517" s="1" t="str">
        <f>VLOOKUP(AE517,[1]Profile!$A$2:$B$8,2,FALSE)</f>
        <v>License</v>
      </c>
      <c r="M517" s="1" t="str">
        <f>VLOOKUP(Y517,[1]License_Method_ID!$A$2:$B$13,2,FALSE)</f>
        <v>FlexNet Publisher Application Activation Code</v>
      </c>
      <c r="N517" s="1" t="s">
        <v>1365</v>
      </c>
      <c r="O517" s="1">
        <v>10</v>
      </c>
      <c r="P517" s="1">
        <v>50</v>
      </c>
      <c r="Q517" s="1" t="str">
        <f>VLOOKUP(AB517,[1]Operational_Profit_Type_ID!$A$2:$B$3,2,FALSE)</f>
        <v>Fix rate</v>
      </c>
      <c r="R517" s="1" t="s">
        <v>48</v>
      </c>
      <c r="T517" s="1" t="str">
        <f>VLOOKUP(AD517,[1]UpdateRightID!$A$2:$B$4,2,FALSE)</f>
        <v>none</v>
      </c>
      <c r="U517" s="1" t="s">
        <v>48</v>
      </c>
      <c r="V517" s="1">
        <v>2</v>
      </c>
      <c r="W517" s="1">
        <v>7</v>
      </c>
      <c r="X517" s="1">
        <v>2</v>
      </c>
      <c r="Y517" s="1">
        <v>1</v>
      </c>
      <c r="Z517" s="1">
        <v>6</v>
      </c>
      <c r="AA517" s="1">
        <v>1</v>
      </c>
      <c r="AB517" s="1">
        <v>1</v>
      </c>
      <c r="AC517" s="1">
        <v>2</v>
      </c>
      <c r="AD517" s="1">
        <v>0</v>
      </c>
      <c r="AE517" s="1">
        <v>1</v>
      </c>
    </row>
    <row r="518" spans="1:31" ht="30">
      <c r="A518" s="1" t="s">
        <v>43</v>
      </c>
      <c r="B518" s="1" t="s">
        <v>1378</v>
      </c>
      <c r="C518" t="s">
        <v>1379</v>
      </c>
      <c r="D518" s="1" t="s">
        <v>1380</v>
      </c>
      <c r="E518" s="1" t="str">
        <f>VLOOKUP(Z518,[1]LicenseDuration_ID!$A$2:$B$8,2,FALSE)</f>
        <v>perpetual</v>
      </c>
      <c r="F518" s="1" t="str">
        <f>VLOOKUP(AA518,[1]MaintenanceDuration_ID!$A$2:$B$5,2,FALSE)</f>
        <v>n/a</v>
      </c>
      <c r="G518" s="1" t="str">
        <f>VLOOKUP(V518,[1]ExpectedDeliveryTime_ID!$A$2:$B$12,2,FALSE)</f>
        <v>FINALIZED PURCHASE PROCESS + 2 weeks</v>
      </c>
      <c r="H518" s="1" t="str">
        <f>VLOOKUP(AC518,[1]PaymentModel_ID!$A$2:$B$7,2,FALSE)</f>
        <v>One-time payment</v>
      </c>
      <c r="I518" s="1" t="str">
        <f>VLOOKUP(W518,[1]ExpectedInvoiceDate_ID!$A$2:$B$12,2,FALSE)</f>
        <v>With FINAL DELIVERY</v>
      </c>
      <c r="J518" s="1" t="str">
        <f>VLOOKUP(X518,[1]GrantOfRights_ID!$A$2:$B$7,2,FALSE)</f>
        <v>Elektrobit Tooling Licence</v>
      </c>
      <c r="K518" s="1" t="str">
        <f>VLOOKUP(AE518,[1]Profile!$A$2:$B$8,2,FALSE)</f>
        <v>License</v>
      </c>
      <c r="M518" s="1" t="str">
        <f>VLOOKUP(Y518,[1]License_Method_ID!$A$2:$B$13,2,FALSE)</f>
        <v>FlexNet Publisher Dongle License File</v>
      </c>
      <c r="N518" s="1" t="s">
        <v>1365</v>
      </c>
      <c r="O518" s="1">
        <v>10</v>
      </c>
      <c r="P518" s="1">
        <v>50</v>
      </c>
      <c r="Q518" s="1" t="str">
        <f>VLOOKUP(AB518,[1]Operational_Profit_Type_ID!$A$2:$B$3,2,FALSE)</f>
        <v>Fix rate</v>
      </c>
      <c r="R518" s="1" t="s">
        <v>48</v>
      </c>
      <c r="T518" s="1" t="str">
        <f>VLOOKUP(AD518,[1]UpdateRightID!$A$2:$B$4,2,FALSE)</f>
        <v>none</v>
      </c>
      <c r="U518" s="1" t="s">
        <v>48</v>
      </c>
      <c r="V518" s="1">
        <v>2</v>
      </c>
      <c r="W518" s="1">
        <v>7</v>
      </c>
      <c r="X518" s="1">
        <v>2</v>
      </c>
      <c r="Y518" s="1">
        <v>3</v>
      </c>
      <c r="Z518" s="1">
        <v>6</v>
      </c>
      <c r="AA518" s="1">
        <v>1</v>
      </c>
      <c r="AB518" s="1">
        <v>1</v>
      </c>
      <c r="AC518" s="1">
        <v>2</v>
      </c>
      <c r="AD518" s="1">
        <v>0</v>
      </c>
      <c r="AE518" s="1">
        <v>1</v>
      </c>
    </row>
    <row r="519" spans="1:31" ht="30">
      <c r="A519" s="1" t="s">
        <v>43</v>
      </c>
      <c r="B519" s="1" t="s">
        <v>1381</v>
      </c>
      <c r="C519" t="s">
        <v>1382</v>
      </c>
      <c r="D519" s="1" t="s">
        <v>1383</v>
      </c>
      <c r="E519" s="1" t="str">
        <f>VLOOKUP(Z519,[1]LicenseDuration_ID!$A$2:$B$8,2,FALSE)</f>
        <v>perpetual</v>
      </c>
      <c r="F519" s="1" t="str">
        <f>VLOOKUP(AA519,[1]MaintenanceDuration_ID!$A$2:$B$5,2,FALSE)</f>
        <v>n/a</v>
      </c>
      <c r="G519" s="1" t="str">
        <f>VLOOKUP(V519,[1]ExpectedDeliveryTime_ID!$A$2:$B$12,2,FALSE)</f>
        <v>FINALIZED PURCHASE PROCESS + 2 weeks</v>
      </c>
      <c r="H519" s="1" t="str">
        <f>VLOOKUP(AC519,[1]PaymentModel_ID!$A$2:$B$7,2,FALSE)</f>
        <v>One-time payment</v>
      </c>
      <c r="I519" s="1" t="str">
        <f>VLOOKUP(W519,[1]ExpectedInvoiceDate_ID!$A$2:$B$12,2,FALSE)</f>
        <v>With FINAL DELIVERY</v>
      </c>
      <c r="J519" s="1" t="str">
        <f>VLOOKUP(X519,[1]GrantOfRights_ID!$A$2:$B$7,2,FALSE)</f>
        <v>Elektrobit Tooling Licence</v>
      </c>
      <c r="K519" s="1" t="str">
        <f>VLOOKUP(AE519,[1]Profile!$A$2:$B$8,2,FALSE)</f>
        <v>License</v>
      </c>
      <c r="M519" s="1" t="str">
        <f>VLOOKUP(Y519,[1]License_Method_ID!$A$2:$B$13,2,FALSE)</f>
        <v>FlexNet Publisher Server Activation Code</v>
      </c>
      <c r="N519" s="1" t="s">
        <v>1365</v>
      </c>
      <c r="O519" s="1">
        <v>10</v>
      </c>
      <c r="P519" s="1">
        <v>50</v>
      </c>
      <c r="Q519" s="1" t="str">
        <f>VLOOKUP(AB519,[1]Operational_Profit_Type_ID!$A$2:$B$3,2,FALSE)</f>
        <v>Fix rate</v>
      </c>
      <c r="R519" s="1" t="s">
        <v>48</v>
      </c>
      <c r="T519" s="1" t="str">
        <f>VLOOKUP(AD519,[1]UpdateRightID!$A$2:$B$4,2,FALSE)</f>
        <v>none</v>
      </c>
      <c r="U519" s="1" t="s">
        <v>48</v>
      </c>
      <c r="V519" s="1">
        <v>2</v>
      </c>
      <c r="W519" s="1">
        <v>7</v>
      </c>
      <c r="X519" s="1">
        <v>2</v>
      </c>
      <c r="Y519" s="1">
        <v>2</v>
      </c>
      <c r="Z519" s="1">
        <v>6</v>
      </c>
      <c r="AA519" s="1">
        <v>1</v>
      </c>
      <c r="AB519" s="1">
        <v>1</v>
      </c>
      <c r="AC519" s="1">
        <v>2</v>
      </c>
      <c r="AD519" s="1">
        <v>0</v>
      </c>
      <c r="AE519" s="1">
        <v>1</v>
      </c>
    </row>
    <row r="520" spans="1:31" ht="30">
      <c r="A520" s="1" t="s">
        <v>43</v>
      </c>
      <c r="B520" s="1" t="s">
        <v>1384</v>
      </c>
      <c r="C520" t="s">
        <v>1385</v>
      </c>
      <c r="D520" s="1" t="s">
        <v>1386</v>
      </c>
      <c r="E520" s="1" t="str">
        <f>VLOOKUP(Z520,[1]LicenseDuration_ID!$A$2:$B$8,2,FALSE)</f>
        <v>n/a</v>
      </c>
      <c r="F520" s="1" t="str">
        <f>VLOOKUP(AA520,[1]MaintenanceDuration_ID!$A$2:$B$5,2,FALSE)</f>
        <v>n/a</v>
      </c>
      <c r="G520" s="1" t="str">
        <f>VLOOKUP(V520,[1]ExpectedDeliveryTime_ID!$A$2:$B$12,2,FALSE)</f>
        <v>n/a</v>
      </c>
      <c r="H520" s="1" t="str">
        <f>VLOOKUP(AC520,[1]PaymentModel_ID!$A$2:$B$7,2,FALSE)</f>
        <v>n/a</v>
      </c>
      <c r="I520" s="1" t="str">
        <f>VLOOKUP(W520,[1]ExpectedInvoiceDate_ID!$A$2:$B$12,2,FALSE)</f>
        <v>n/a</v>
      </c>
      <c r="J520" s="1" t="str">
        <f>VLOOKUP(X520,[1]GrantOfRights_ID!$A$2:$B$7,2,FALSE)</f>
        <v>n/a</v>
      </c>
      <c r="K520" s="1" t="str">
        <f>VLOOKUP(AE520,[1]Profile!$A$2:$B$8,2,FALSE)</f>
        <v>License</v>
      </c>
      <c r="M520" s="1" t="str">
        <f>VLOOKUP(Y520,[1]License_Method_ID!$A$2:$B$13,2,FALSE)</f>
        <v>no technical license protection</v>
      </c>
      <c r="N520" s="1" t="s">
        <v>1365</v>
      </c>
      <c r="O520" s="1">
        <v>10</v>
      </c>
      <c r="Q520" s="1" t="str">
        <f>VLOOKUP(AB520,[1]Operational_Profit_Type_ID!$A$2:$B$3,2,FALSE)</f>
        <v>Calculated</v>
      </c>
      <c r="R520" s="1" t="s">
        <v>55</v>
      </c>
      <c r="T520" s="1" t="str">
        <f>VLOOKUP(AD520,[1]UpdateRightID!$A$2:$B$4,2,FALSE)</f>
        <v>none</v>
      </c>
      <c r="U520" s="1" t="s">
        <v>48</v>
      </c>
      <c r="V520" s="1">
        <v>1</v>
      </c>
      <c r="W520" s="1">
        <v>1</v>
      </c>
      <c r="X520" s="1">
        <v>1</v>
      </c>
      <c r="Y520" s="1">
        <v>0</v>
      </c>
      <c r="Z520" s="1">
        <v>1</v>
      </c>
      <c r="AA520" s="1">
        <v>1</v>
      </c>
      <c r="AB520" s="1">
        <v>2</v>
      </c>
      <c r="AC520" s="1">
        <v>1</v>
      </c>
      <c r="AD520" s="1">
        <v>0</v>
      </c>
      <c r="AE520" s="1">
        <v>1</v>
      </c>
    </row>
    <row r="521" spans="1:31" ht="60">
      <c r="A521" s="1" t="s">
        <v>43</v>
      </c>
      <c r="B521" s="1" t="s">
        <v>1387</v>
      </c>
      <c r="C521" t="s">
        <v>1388</v>
      </c>
      <c r="D521" s="1" t="s">
        <v>929</v>
      </c>
      <c r="E521" s="1" t="str">
        <f>VLOOKUP(Z521,[1]LicenseDuration_ID!$A$2:$B$8,2,FALSE)</f>
        <v>3 months</v>
      </c>
      <c r="F521" s="1" t="str">
        <f>VLOOKUP(AA521,[1]MaintenanceDuration_ID!$A$2:$B$5,2,FALSE)</f>
        <v>n/a</v>
      </c>
      <c r="G521" s="1" t="str">
        <f>VLOOKUP(V521,[1]ExpectedDeliveryTime_ID!$A$2:$B$12,2,FALSE)</f>
        <v>FINALIZED PURCHASE PROCESS + 2 weeks</v>
      </c>
      <c r="H521" s="1" t="str">
        <f>VLOOKUP(AC521,[1]PaymentModel_ID!$A$2:$B$7,2,FALSE)</f>
        <v>One-time payment</v>
      </c>
      <c r="I521" s="1" t="str">
        <f>VLOOKUP(W521,[1]ExpectedInvoiceDate_ID!$A$2:$B$12,2,FALSE)</f>
        <v>With FINAL DELIVERY</v>
      </c>
      <c r="J521" s="1" t="str">
        <f>VLOOKUP(X521,[1]GrantOfRights_ID!$A$2:$B$7,2,FALSE)</f>
        <v>n/a</v>
      </c>
      <c r="K521" s="1" t="str">
        <f>VLOOKUP(AE521,[1]Profile!$A$2:$B$8,2,FALSE)</f>
        <v>License</v>
      </c>
      <c r="M521" s="1" t="str">
        <f>VLOOKUP(Y521,[1]License_Method_ID!$A$2:$B$13,2,FALSE)</f>
        <v>no technical license protection</v>
      </c>
      <c r="N521" s="1" t="s">
        <v>47</v>
      </c>
      <c r="O521" s="1">
        <v>10</v>
      </c>
      <c r="Q521" s="1" t="str">
        <f>VLOOKUP(AB521,[1]Operational_Profit_Type_ID!$A$2:$B$3,2,FALSE)</f>
        <v>Calculated</v>
      </c>
      <c r="R521" s="1" t="s">
        <v>55</v>
      </c>
      <c r="T521" s="1" t="str">
        <f>VLOOKUP(AD521,[1]UpdateRightID!$A$2:$B$4,2,FALSE)</f>
        <v>none</v>
      </c>
      <c r="U521" s="1" t="s">
        <v>48</v>
      </c>
      <c r="V521" s="1">
        <v>2</v>
      </c>
      <c r="W521" s="1">
        <v>7</v>
      </c>
      <c r="X521" s="1">
        <v>1</v>
      </c>
      <c r="Y521" s="1">
        <v>0</v>
      </c>
      <c r="Z521" s="1">
        <v>2</v>
      </c>
      <c r="AA521" s="1">
        <v>1</v>
      </c>
      <c r="AB521" s="1">
        <v>2</v>
      </c>
      <c r="AC521" s="1">
        <v>2</v>
      </c>
      <c r="AD521" s="1">
        <v>0</v>
      </c>
      <c r="AE521" s="1">
        <v>1</v>
      </c>
    </row>
    <row r="522" spans="1:31" ht="165">
      <c r="A522" s="1" t="s">
        <v>43</v>
      </c>
      <c r="B522" s="1" t="s">
        <v>1389</v>
      </c>
      <c r="C522" t="s">
        <v>1390</v>
      </c>
      <c r="D522" s="1" t="s">
        <v>1391</v>
      </c>
      <c r="E522" s="1" t="str">
        <f>VLOOKUP(Z522,[1]LicenseDuration_ID!$A$2:$B$8,2,FALSE)</f>
        <v>12 months / yearly automatically renewed</v>
      </c>
      <c r="F522" s="1" t="str">
        <f>VLOOKUP(AA522,[1]MaintenanceDuration_ID!$A$2:$B$5,2,FALSE)</f>
        <v>12 months / yearly automatically renewed</v>
      </c>
      <c r="G522" s="1" t="str">
        <f>VLOOKUP(V522,[1]ExpectedDeliveryTime_ID!$A$2:$B$12,2,FALSE)</f>
        <v>FINALIZED PURCHASE PROCESS + 2 weeks</v>
      </c>
      <c r="H522" s="1" t="str">
        <f>VLOOKUP(AC522,[1]PaymentModel_ID!$A$2:$B$7,2,FALSE)</f>
        <v>Annual subscription</v>
      </c>
      <c r="I522" s="1" t="str">
        <f>VLOOKUP(W522,[1]ExpectedInvoiceDate_ID!$A$2:$B$12,2,FALSE)</f>
        <v>First payment due after FINAL DELIVERY / Recurring payment based on LICENSE PERIOD</v>
      </c>
      <c r="J522" s="1" t="str">
        <f>VLOOKUP(X522,[1]GrantOfRights_ID!$A$2:$B$7,2,FALSE)</f>
        <v>Development License</v>
      </c>
      <c r="K522" s="1" t="str">
        <f>VLOOKUP(AE522,[1]Profile!$A$2:$B$8,2,FALSE)</f>
        <v>License</v>
      </c>
      <c r="M522" s="1" t="str">
        <f>VLOOKUP(Y522,[1]License_Method_ID!$A$2:$B$13,2,FALSE)</f>
        <v>no technical license protection</v>
      </c>
      <c r="N522" s="1" t="s">
        <v>1365</v>
      </c>
      <c r="O522" s="1">
        <v>10</v>
      </c>
      <c r="Q522" s="1" t="str">
        <f>VLOOKUP(AB522,[1]Operational_Profit_Type_ID!$A$2:$B$3,2,FALSE)</f>
        <v>Fix rate</v>
      </c>
      <c r="R522" s="1" t="s">
        <v>55</v>
      </c>
      <c r="S522" s="1">
        <v>30</v>
      </c>
      <c r="T522" s="1" t="str">
        <f>VLOOKUP(AD522,[1]UpdateRightID!$A$2:$B$4,2,FALSE)</f>
        <v>UpdateRightByConfiguration</v>
      </c>
      <c r="U522" s="1" t="s">
        <v>48</v>
      </c>
      <c r="V522" s="1">
        <v>2</v>
      </c>
      <c r="W522" s="1">
        <v>3</v>
      </c>
      <c r="X522" s="1">
        <v>4</v>
      </c>
      <c r="Y522" s="1">
        <v>0</v>
      </c>
      <c r="Z522" s="1">
        <v>5</v>
      </c>
      <c r="AA522" s="1">
        <v>4</v>
      </c>
      <c r="AB522" s="1">
        <v>1</v>
      </c>
      <c r="AC522" s="1">
        <v>4</v>
      </c>
      <c r="AD522" s="1">
        <v>1</v>
      </c>
      <c r="AE522" s="1">
        <v>1</v>
      </c>
    </row>
    <row r="523" spans="1:31" ht="120">
      <c r="A523" s="1" t="s">
        <v>43</v>
      </c>
      <c r="B523" s="1" t="s">
        <v>1392</v>
      </c>
      <c r="C523" t="s">
        <v>1393</v>
      </c>
      <c r="D523" s="1" t="s">
        <v>1394</v>
      </c>
      <c r="E523" s="1" t="str">
        <f>VLOOKUP(Z523,[1]LicenseDuration_ID!$A$2:$B$8,2,FALSE)</f>
        <v>perpetual</v>
      </c>
      <c r="F523" s="1" t="str">
        <f>VLOOKUP(AA523,[1]MaintenanceDuration_ID!$A$2:$B$5,2,FALSE)</f>
        <v>n/a</v>
      </c>
      <c r="G523" s="1" t="str">
        <f>VLOOKUP(V523,[1]ExpectedDeliveryTime_ID!$A$2:$B$12,2,FALSE)</f>
        <v>n/a</v>
      </c>
      <c r="H523" s="1" t="str">
        <f>VLOOKUP(AC523,[1]PaymentModel_ID!$A$2:$B$7,2,FALSE)</f>
        <v>Per unit</v>
      </c>
      <c r="I523" s="1" t="str">
        <f>VLOOKUP(W523,[1]ExpectedInvoiceDate_ID!$A$2:$B$12,2,FALSE)</f>
        <v>Monthly based on units</v>
      </c>
      <c r="J523" s="1" t="str">
        <f>VLOOKUP(X523,[1]GrantOfRights_ID!$A$2:$B$7,2,FALSE)</f>
        <v>Reproduction and Distribution License</v>
      </c>
      <c r="K523" s="1" t="str">
        <f>VLOOKUP(AE523,[1]Profile!$A$2:$B$8,2,FALSE)</f>
        <v>License</v>
      </c>
      <c r="M523" s="1" t="str">
        <f>VLOOKUP(Y523,[1]License_Method_ID!$A$2:$B$13,2,FALSE)</f>
        <v>no technical license protection</v>
      </c>
      <c r="N523" s="1" t="s">
        <v>1365</v>
      </c>
      <c r="O523" s="1">
        <v>10</v>
      </c>
      <c r="Q523" s="1" t="str">
        <f>VLOOKUP(AB523,[1]Operational_Profit_Type_ID!$A$2:$B$3,2,FALSE)</f>
        <v>Fix rate</v>
      </c>
      <c r="R523" s="1" t="s">
        <v>48</v>
      </c>
      <c r="T523" s="1" t="str">
        <f>VLOOKUP(AD523,[1]UpdateRightID!$A$2:$B$4,2,FALSE)</f>
        <v>none</v>
      </c>
      <c r="U523" s="1" t="s">
        <v>48</v>
      </c>
      <c r="V523" s="1">
        <v>1</v>
      </c>
      <c r="W523" s="1">
        <v>5</v>
      </c>
      <c r="X523" s="1">
        <v>5</v>
      </c>
      <c r="Y523" s="1">
        <v>0</v>
      </c>
      <c r="Z523" s="1">
        <v>6</v>
      </c>
      <c r="AA523" s="1">
        <v>1</v>
      </c>
      <c r="AB523" s="1">
        <v>1</v>
      </c>
      <c r="AC523" s="1">
        <v>6</v>
      </c>
      <c r="AD523" s="1">
        <v>0</v>
      </c>
      <c r="AE523" s="1">
        <v>1</v>
      </c>
    </row>
    <row r="524" spans="1:31" ht="240">
      <c r="B524" s="1" t="s">
        <v>1395</v>
      </c>
      <c r="C524" t="s">
        <v>1396</v>
      </c>
      <c r="D524" s="1" t="s">
        <v>1397</v>
      </c>
      <c r="E524" s="1" t="e">
        <f>VLOOKUP(Z524,[1]LicenseDuration_ID!$A$2:$B$8,2,FALSE)</f>
        <v>#N/A</v>
      </c>
      <c r="F524" s="1" t="e">
        <f>VLOOKUP(AA524,[1]MaintenanceDuration_ID!$A$2:$B$5,2,FALSE)</f>
        <v>#N/A</v>
      </c>
      <c r="G524" s="1" t="e">
        <f>VLOOKUP(V524,[1]ExpectedDeliveryTime_ID!$A$2:$B$12,2,FALSE)</f>
        <v>#N/A</v>
      </c>
      <c r="H524" s="1" t="e">
        <f>VLOOKUP(AC524,[1]PaymentModel_ID!$A$2:$B$7,2,FALSE)</f>
        <v>#N/A</v>
      </c>
      <c r="I524" s="1" t="e">
        <f>VLOOKUP(W524,[1]ExpectedInvoiceDate_ID!$A$2:$B$12,2,FALSE)</f>
        <v>#N/A</v>
      </c>
      <c r="J524" s="1" t="e">
        <f>VLOOKUP(X524,[1]GrantOfRights_ID!$A$2:$B$7,2,FALSE)</f>
        <v>#N/A</v>
      </c>
      <c r="K524" s="1" t="str">
        <f>VLOOKUP(AE524,[1]Profile!$A$2:$B$8,2,FALSE)</f>
        <v>License</v>
      </c>
      <c r="M524" s="1" t="str">
        <f>VLOOKUP(Y524,[1]License_Method_ID!$A$2:$B$13,2,FALSE)</f>
        <v>no technical license protection</v>
      </c>
      <c r="N524" s="1" t="s">
        <v>1365</v>
      </c>
      <c r="O524" s="1">
        <v>10</v>
      </c>
      <c r="Q524" s="1" t="e">
        <f>VLOOKUP(AB524,[1]Operational_Profit_Type_ID!$A$2:$B$3,2,FALSE)</f>
        <v>#N/A</v>
      </c>
      <c r="R524" s="1" t="s">
        <v>48</v>
      </c>
      <c r="S524" s="1">
        <v>0</v>
      </c>
      <c r="T524" s="1" t="str">
        <f>VLOOKUP(AD524,[1]UpdateRightID!$A$2:$B$4,2,FALSE)</f>
        <v>none</v>
      </c>
      <c r="U524" s="1" t="s">
        <v>48</v>
      </c>
      <c r="Y524" s="1">
        <v>0</v>
      </c>
      <c r="AD524" s="1">
        <v>0</v>
      </c>
      <c r="AE524" s="1">
        <v>1</v>
      </c>
    </row>
    <row r="525" spans="1:31" ht="195">
      <c r="A525" s="1" t="s">
        <v>43</v>
      </c>
      <c r="B525" s="1" t="s">
        <v>1398</v>
      </c>
      <c r="C525" t="s">
        <v>1399</v>
      </c>
      <c r="D525" s="1" t="s">
        <v>1400</v>
      </c>
      <c r="E525" s="1" t="str">
        <f>VLOOKUP(Z525,[1]LicenseDuration_ID!$A$2:$B$8,2,FALSE)</f>
        <v>12 months / yearly automatically renewed</v>
      </c>
      <c r="F525" s="1" t="str">
        <f>VLOOKUP(AA525,[1]MaintenanceDuration_ID!$A$2:$B$5,2,FALSE)</f>
        <v>12 months / yearly automatically renewed</v>
      </c>
      <c r="G525" s="1" t="str">
        <f>VLOOKUP(V525,[1]ExpectedDeliveryTime_ID!$A$2:$B$12,2,FALSE)</f>
        <v>n/a</v>
      </c>
      <c r="H525" s="1" t="str">
        <f>VLOOKUP(AC525,[1]PaymentModel_ID!$A$2:$B$7,2,FALSE)</f>
        <v>Annual subscription</v>
      </c>
      <c r="I525" s="1" t="str">
        <f>VLOOKUP(W525,[1]ExpectedInvoiceDate_ID!$A$2:$B$12,2,FALSE)</f>
        <v>Yearly based on units</v>
      </c>
      <c r="J525" s="1" t="str">
        <f>VLOOKUP(X525,[1]GrantOfRights_ID!$A$2:$B$7,2,FALSE)</f>
        <v>Reproduction and Distribution License</v>
      </c>
      <c r="K525" s="1" t="str">
        <f>VLOOKUP(AE525,[1]Profile!$A$2:$B$8,2,FALSE)</f>
        <v>License</v>
      </c>
      <c r="M525" s="1" t="str">
        <f>VLOOKUP(Y525,[1]License_Method_ID!$A$2:$B$13,2,FALSE)</f>
        <v>no technical license protection</v>
      </c>
      <c r="N525" s="1" t="s">
        <v>1365</v>
      </c>
      <c r="O525" s="1">
        <v>10</v>
      </c>
      <c r="Q525" s="1" t="str">
        <f>VLOOKUP(AB525,[1]Operational_Profit_Type_ID!$A$2:$B$3,2,FALSE)</f>
        <v>Fix rate</v>
      </c>
      <c r="R525" s="1" t="s">
        <v>55</v>
      </c>
      <c r="T525" s="1" t="str">
        <f>VLOOKUP(AD525,[1]UpdateRightID!$A$2:$B$4,2,FALSE)</f>
        <v>UpdateRightByConfiguration</v>
      </c>
      <c r="U525" s="1" t="s">
        <v>48</v>
      </c>
      <c r="V525" s="1">
        <v>1</v>
      </c>
      <c r="W525" s="1">
        <v>9</v>
      </c>
      <c r="X525" s="1">
        <v>5</v>
      </c>
      <c r="Y525" s="1">
        <v>0</v>
      </c>
      <c r="Z525" s="1">
        <v>5</v>
      </c>
      <c r="AA525" s="1">
        <v>4</v>
      </c>
      <c r="AB525" s="1">
        <v>1</v>
      </c>
      <c r="AC525" s="1">
        <v>4</v>
      </c>
      <c r="AD525" s="1">
        <v>1</v>
      </c>
      <c r="AE525" s="1">
        <v>1</v>
      </c>
    </row>
    <row r="526" spans="1:31" ht="285">
      <c r="A526" s="1" t="s">
        <v>43</v>
      </c>
      <c r="B526" s="1" t="s">
        <v>1401</v>
      </c>
      <c r="C526" t="s">
        <v>1402</v>
      </c>
      <c r="D526" s="1" t="s">
        <v>1403</v>
      </c>
      <c r="E526" s="1" t="str">
        <f>VLOOKUP(Z526,[1]LicenseDuration_ID!$A$2:$B$8,2,FALSE)</f>
        <v>n/a</v>
      </c>
      <c r="F526" s="1" t="str">
        <f>VLOOKUP(AA526,[1]MaintenanceDuration_ID!$A$2:$B$5,2,FALSE)</f>
        <v>12 months / yearly automatically renewed</v>
      </c>
      <c r="G526" s="1" t="str">
        <f>VLOOKUP(V526,[1]ExpectedDeliveryTime_ID!$A$2:$B$12,2,FALSE)</f>
        <v>n/a</v>
      </c>
      <c r="H526" s="1" t="str">
        <f>VLOOKUP(AC526,[1]PaymentModel_ID!$A$2:$B$7,2,FALSE)</f>
        <v>Annual subscription</v>
      </c>
      <c r="I526" s="1" t="str">
        <f>VLOOKUP(W526,[1]ExpectedInvoiceDate_ID!$A$2:$B$12,2,FALSE)</f>
        <v>Yearly based on units</v>
      </c>
      <c r="J526" s="1" t="str">
        <f>VLOOKUP(X526,[1]GrantOfRights_ID!$A$2:$B$7,2,FALSE)</f>
        <v>n/a</v>
      </c>
      <c r="K526" s="1" t="str">
        <f>VLOOKUP(AE526,[1]Profile!$A$2:$B$8,2,FALSE)</f>
        <v>License</v>
      </c>
      <c r="M526" s="1" t="str">
        <f>VLOOKUP(Y526,[1]License_Method_ID!$A$2:$B$13,2,FALSE)</f>
        <v>no technical license protection</v>
      </c>
      <c r="N526" s="1" t="s">
        <v>1365</v>
      </c>
      <c r="O526" s="1">
        <v>10</v>
      </c>
      <c r="Q526" s="1" t="str">
        <f>VLOOKUP(AB526,[1]Operational_Profit_Type_ID!$A$2:$B$3,2,FALSE)</f>
        <v>Fix rate</v>
      </c>
      <c r="R526" s="1" t="s">
        <v>55</v>
      </c>
      <c r="T526" s="1" t="str">
        <f>VLOOKUP(AD526,[1]UpdateRightID!$A$2:$B$4,2,FALSE)</f>
        <v>TotalAmountAsUpdateRight</v>
      </c>
      <c r="U526" s="1" t="s">
        <v>48</v>
      </c>
      <c r="V526" s="1">
        <v>1</v>
      </c>
      <c r="W526" s="1">
        <v>9</v>
      </c>
      <c r="X526" s="1">
        <v>1</v>
      </c>
      <c r="Y526" s="1">
        <v>0</v>
      </c>
      <c r="Z526" s="1">
        <v>1</v>
      </c>
      <c r="AA526" s="1">
        <v>4</v>
      </c>
      <c r="AB526" s="1">
        <v>1</v>
      </c>
      <c r="AC526" s="1">
        <v>4</v>
      </c>
      <c r="AD526" s="1">
        <v>2</v>
      </c>
      <c r="AE526" s="1">
        <v>1</v>
      </c>
    </row>
    <row r="527" spans="1:31" ht="255">
      <c r="A527" s="1" t="s">
        <v>43</v>
      </c>
      <c r="B527" s="1" t="s">
        <v>1404</v>
      </c>
      <c r="C527" t="s">
        <v>1405</v>
      </c>
      <c r="D527" s="1" t="s">
        <v>1406</v>
      </c>
      <c r="E527" s="1" t="str">
        <f>VLOOKUP(Z527,[1]LicenseDuration_ID!$A$2:$B$8,2,FALSE)</f>
        <v>n/a</v>
      </c>
      <c r="F527" s="1" t="str">
        <f>VLOOKUP(AA527,[1]MaintenanceDuration_ID!$A$2:$B$5,2,FALSE)</f>
        <v>12 months / yearly automatically renewed</v>
      </c>
      <c r="G527" s="1" t="str">
        <f>VLOOKUP(V527,[1]ExpectedDeliveryTime_ID!$A$2:$B$12,2,FALSE)</f>
        <v>n/a</v>
      </c>
      <c r="H527" s="1" t="str">
        <f>VLOOKUP(AC527,[1]PaymentModel_ID!$A$2:$B$7,2,FALSE)</f>
        <v>Annual subscription</v>
      </c>
      <c r="I527" s="1" t="str">
        <f>VLOOKUP(W527,[1]ExpectedInvoiceDate_ID!$A$2:$B$12,2,FALSE)</f>
        <v>Anually at the beginning of the extended period</v>
      </c>
      <c r="J527" s="1" t="str">
        <f>VLOOKUP(X527,[1]GrantOfRights_ID!$A$2:$B$7,2,FALSE)</f>
        <v>n/a</v>
      </c>
      <c r="K527" s="1" t="str">
        <f>VLOOKUP(AE527,[1]Profile!$A$2:$B$8,2,FALSE)</f>
        <v>License</v>
      </c>
      <c r="M527" s="1" t="str">
        <f>VLOOKUP(Y527,[1]License_Method_ID!$A$2:$B$13,2,FALSE)</f>
        <v>no technical license protection</v>
      </c>
      <c r="N527" s="1" t="s">
        <v>1365</v>
      </c>
      <c r="O527" s="1">
        <v>10</v>
      </c>
      <c r="Q527" s="1" t="str">
        <f>VLOOKUP(AB527,[1]Operational_Profit_Type_ID!$A$2:$B$3,2,FALSE)</f>
        <v>Fix rate</v>
      </c>
      <c r="R527" s="1" t="s">
        <v>55</v>
      </c>
      <c r="T527" s="1" t="str">
        <f>VLOOKUP(AD527,[1]UpdateRightID!$A$2:$B$4,2,FALSE)</f>
        <v>TotalAmountAsUpdateRight</v>
      </c>
      <c r="U527" s="1" t="s">
        <v>48</v>
      </c>
      <c r="V527" s="1">
        <v>1</v>
      </c>
      <c r="W527" s="1">
        <v>2</v>
      </c>
      <c r="X527" s="1">
        <v>1</v>
      </c>
      <c r="Y527" s="1">
        <v>0</v>
      </c>
      <c r="Z527" s="1">
        <v>1</v>
      </c>
      <c r="AA527" s="1">
        <v>4</v>
      </c>
      <c r="AB527" s="1">
        <v>1</v>
      </c>
      <c r="AC527" s="1">
        <v>4</v>
      </c>
      <c r="AD527" s="1">
        <v>2</v>
      </c>
      <c r="AE527" s="1">
        <v>1</v>
      </c>
    </row>
    <row r="528" spans="1:31" ht="60">
      <c r="B528" s="1" t="s">
        <v>1407</v>
      </c>
      <c r="C528" t="s">
        <v>1408</v>
      </c>
      <c r="D528" s="1" t="s">
        <v>1409</v>
      </c>
      <c r="E528" s="1" t="str">
        <f>VLOOKUP(Z528,[1]LicenseDuration_ID!$A$2:$B$8,2,FALSE)</f>
        <v>n/a</v>
      </c>
      <c r="F528" s="1" t="str">
        <f>VLOOKUP(AA528,[1]MaintenanceDuration_ID!$A$2:$B$5,2,FALSE)</f>
        <v>n/a</v>
      </c>
      <c r="G528" s="1" t="str">
        <f>VLOOKUP(V528,[1]ExpectedDeliveryTime_ID!$A$2:$B$12,2,FALSE)</f>
        <v>FINALIZED PURCHASE PROCESS + 16 weeks</v>
      </c>
      <c r="H528" s="1" t="str">
        <f>VLOOKUP(AC528,[1]PaymentModel_ID!$A$2:$B$7,2,FALSE)</f>
        <v>One-time payment</v>
      </c>
      <c r="I528" s="1" t="str">
        <f>VLOOKUP(W528,[1]ExpectedInvoiceDate_ID!$A$2:$B$12,2,FALSE)</f>
        <v>With FINAL DELIVERY</v>
      </c>
      <c r="J528" s="1" t="str">
        <f>VLOOKUP(X528,[1]GrantOfRights_ID!$A$2:$B$7,2,FALSE)</f>
        <v>n/a</v>
      </c>
      <c r="K528" s="1" t="str">
        <f>VLOOKUP(AE528,[1]Profile!$A$2:$B$8,2,FALSE)</f>
        <v>Hardware</v>
      </c>
      <c r="M528" s="1" t="str">
        <f>VLOOKUP(Y528,[1]License_Method_ID!$A$2:$B$13,2,FALSE)</f>
        <v>no technical license protection</v>
      </c>
      <c r="N528" s="1" t="s">
        <v>1365</v>
      </c>
      <c r="O528" s="1">
        <v>10</v>
      </c>
      <c r="Q528" s="1" t="e">
        <f>VLOOKUP(AB528,[1]Operational_Profit_Type_ID!$A$2:$B$3,2,FALSE)</f>
        <v>#N/A</v>
      </c>
      <c r="R528" s="1" t="s">
        <v>55</v>
      </c>
      <c r="S528" s="1">
        <v>0</v>
      </c>
      <c r="T528" s="1" t="str">
        <f>VLOOKUP(AD528,[1]UpdateRightID!$A$2:$B$4,2,FALSE)</f>
        <v>none</v>
      </c>
      <c r="U528" s="1" t="s">
        <v>48</v>
      </c>
      <c r="V528" s="1">
        <v>16</v>
      </c>
      <c r="W528" s="1">
        <v>7</v>
      </c>
      <c r="X528" s="1">
        <v>1</v>
      </c>
      <c r="Y528" s="1">
        <v>0</v>
      </c>
      <c r="Z528" s="1">
        <v>1</v>
      </c>
      <c r="AA528" s="1">
        <v>1</v>
      </c>
      <c r="AC528" s="1">
        <v>2</v>
      </c>
      <c r="AD528" s="1">
        <v>0</v>
      </c>
      <c r="AE528" s="1">
        <v>6</v>
      </c>
    </row>
    <row r="529" spans="1:31" ht="330">
      <c r="A529" s="1" t="s">
        <v>43</v>
      </c>
      <c r="B529" s="1" t="s">
        <v>1410</v>
      </c>
      <c r="C529" t="s">
        <v>1411</v>
      </c>
      <c r="D529" s="9" t="s">
        <v>1412</v>
      </c>
      <c r="E529" s="1" t="str">
        <f>VLOOKUP(Z529,[1]LicenseDuration_ID!$A$2:$B$8,2,FALSE)</f>
        <v>n/a</v>
      </c>
      <c r="F529" s="1" t="str">
        <f>VLOOKUP(AA529,[1]MaintenanceDuration_ID!$A$2:$B$5,2,FALSE)</f>
        <v>12 months / yearly automatically renewed</v>
      </c>
      <c r="G529" s="1" t="str">
        <f>VLOOKUP(V529,[1]ExpectedDeliveryTime_ID!$A$2:$B$12,2,FALSE)</f>
        <v>n/a</v>
      </c>
      <c r="H529" s="1" t="str">
        <f>VLOOKUP(AC529,[1]PaymentModel_ID!$A$2:$B$7,2,FALSE)</f>
        <v>Annual subscription</v>
      </c>
      <c r="I529" s="1" t="str">
        <f>VLOOKUP(W529,[1]ExpectedInvoiceDate_ID!$A$2:$B$12,2,FALSE)</f>
        <v>Anually at the beginning of the extended period</v>
      </c>
      <c r="J529" s="1" t="str">
        <f>VLOOKUP(X529,[1]GrantOfRights_ID!$A$2:$B$7,2,FALSE)</f>
        <v>n/a</v>
      </c>
      <c r="K529" s="1" t="str">
        <f>VLOOKUP(AE529,[1]Profile!$A$2:$B$8,2,FALSE)</f>
        <v>License</v>
      </c>
      <c r="M529" s="1" t="str">
        <f>VLOOKUP(Y529,[1]License_Method_ID!$A$2:$B$13,2,FALSE)</f>
        <v>no technical license protection</v>
      </c>
      <c r="N529" s="1" t="s">
        <v>1365</v>
      </c>
      <c r="O529" s="1">
        <v>10</v>
      </c>
      <c r="Q529" s="1" t="str">
        <f>VLOOKUP(AB529,[1]Operational_Profit_Type_ID!$A$2:$B$3,2,FALSE)</f>
        <v>Fix rate</v>
      </c>
      <c r="R529" s="1" t="s">
        <v>55</v>
      </c>
      <c r="T529" s="1" t="str">
        <f>VLOOKUP(AD529,[1]UpdateRightID!$A$2:$B$4,2,FALSE)</f>
        <v>TotalAmountAsUpdateRight</v>
      </c>
      <c r="U529" s="1" t="s">
        <v>48</v>
      </c>
      <c r="V529" s="1">
        <v>1</v>
      </c>
      <c r="W529" s="1">
        <v>2</v>
      </c>
      <c r="X529" s="1">
        <v>1</v>
      </c>
      <c r="Y529" s="1">
        <v>0</v>
      </c>
      <c r="Z529" s="1">
        <v>1</v>
      </c>
      <c r="AA529" s="1">
        <v>4</v>
      </c>
      <c r="AB529" s="1">
        <v>1</v>
      </c>
      <c r="AC529" s="1">
        <v>4</v>
      </c>
      <c r="AD529" s="1">
        <v>2</v>
      </c>
      <c r="AE529" s="1">
        <v>1</v>
      </c>
    </row>
    <row r="530" spans="1:31" ht="270">
      <c r="A530" s="1" t="s">
        <v>43</v>
      </c>
      <c r="B530" s="1" t="s">
        <v>1413</v>
      </c>
      <c r="C530" t="s">
        <v>1414</v>
      </c>
      <c r="D530" s="1" t="s">
        <v>1415</v>
      </c>
      <c r="E530" s="1" t="str">
        <f>VLOOKUP(Z530,[1]LicenseDuration_ID!$A$2:$B$8,2,FALSE)</f>
        <v>n/a</v>
      </c>
      <c r="F530" s="1" t="str">
        <f>VLOOKUP(AA530,[1]MaintenanceDuration_ID!$A$2:$B$5,2,FALSE)</f>
        <v>12 months / yearly automatically renewed</v>
      </c>
      <c r="G530" s="1" t="str">
        <f>VLOOKUP(V530,[1]ExpectedDeliveryTime_ID!$A$2:$B$12,2,FALSE)</f>
        <v>n/a</v>
      </c>
      <c r="H530" s="1" t="str">
        <f>VLOOKUP(AC530,[1]PaymentModel_ID!$A$2:$B$7,2,FALSE)</f>
        <v>Annual subscription</v>
      </c>
      <c r="I530" s="1" t="str">
        <f>VLOOKUP(W530,[1]ExpectedInvoiceDate_ID!$A$2:$B$12,2,FALSE)</f>
        <v>Anually at the beginning of the extended period</v>
      </c>
      <c r="J530" s="1" t="str">
        <f>VLOOKUP(X530,[1]GrantOfRights_ID!$A$2:$B$7,2,FALSE)</f>
        <v>n/a</v>
      </c>
      <c r="K530" s="1" t="str">
        <f>VLOOKUP(AE530,[1]Profile!$A$2:$B$8,2,FALSE)</f>
        <v>License</v>
      </c>
      <c r="M530" s="1" t="str">
        <f>VLOOKUP(Y530,[1]License_Method_ID!$A$2:$B$13,2,FALSE)</f>
        <v>no technical license protection</v>
      </c>
      <c r="N530" s="1" t="s">
        <v>1365</v>
      </c>
      <c r="O530" s="1">
        <v>10</v>
      </c>
      <c r="Q530" s="1" t="e">
        <f>VLOOKUP(AB530,[1]Operational_Profit_Type_ID!$A$2:$B$3,2,FALSE)</f>
        <v>#N/A</v>
      </c>
      <c r="R530" s="1" t="s">
        <v>55</v>
      </c>
      <c r="S530" s="1">
        <v>0</v>
      </c>
      <c r="T530" s="1" t="str">
        <f>VLOOKUP(AD530,[1]UpdateRightID!$A$2:$B$4,2,FALSE)</f>
        <v>none</v>
      </c>
      <c r="U530" s="1" t="s">
        <v>48</v>
      </c>
      <c r="V530" s="1">
        <v>1</v>
      </c>
      <c r="W530" s="1">
        <v>2</v>
      </c>
      <c r="X530" s="1">
        <v>1</v>
      </c>
      <c r="Y530" s="1">
        <v>0</v>
      </c>
      <c r="Z530" s="1">
        <v>1</v>
      </c>
      <c r="AA530" s="1">
        <v>4</v>
      </c>
      <c r="AC530" s="1">
        <v>4</v>
      </c>
      <c r="AD530" s="1">
        <v>0</v>
      </c>
      <c r="AE530" s="1">
        <v>1</v>
      </c>
    </row>
    <row r="531" spans="1:31" ht="60">
      <c r="A531" s="1" t="s">
        <v>43</v>
      </c>
      <c r="B531" s="1" t="s">
        <v>1416</v>
      </c>
      <c r="C531" t="s">
        <v>1417</v>
      </c>
      <c r="D531" s="1" t="s">
        <v>1418</v>
      </c>
      <c r="E531" s="1" t="str">
        <f>VLOOKUP(Z531,[1]LicenseDuration_ID!$A$2:$B$8,2,FALSE)</f>
        <v>n/a</v>
      </c>
      <c r="F531" s="1" t="str">
        <f>VLOOKUP(AA531,[1]MaintenanceDuration_ID!$A$2:$B$5,2,FALSE)</f>
        <v>n/a</v>
      </c>
      <c r="G531" s="1" t="str">
        <f>VLOOKUP(V531,[1]ExpectedDeliveryTime_ID!$A$2:$B$12,2,FALSE)</f>
        <v>FINALIZED PURCHASE PROCESS + 16 weeks</v>
      </c>
      <c r="H531" s="1" t="str">
        <f>VLOOKUP(AC531,[1]PaymentModel_ID!$A$2:$B$7,2,FALSE)</f>
        <v>One-time payment</v>
      </c>
      <c r="I531" s="1" t="str">
        <f>VLOOKUP(W531,[1]ExpectedInvoiceDate_ID!$A$2:$B$12,2,FALSE)</f>
        <v>With FINAL DELIVERY</v>
      </c>
      <c r="J531" s="1" t="str">
        <f>VLOOKUP(X531,[1]GrantOfRights_ID!$A$2:$B$7,2,FALSE)</f>
        <v>n/a</v>
      </c>
      <c r="K531" s="1" t="str">
        <f>VLOOKUP(AE531,[1]Profile!$A$2:$B$8,2,FALSE)</f>
        <v>Hardware</v>
      </c>
      <c r="M531" s="1" t="str">
        <f>VLOOKUP(Y531,[1]License_Method_ID!$A$2:$B$13,2,FALSE)</f>
        <v>no technical license protection</v>
      </c>
      <c r="N531" s="1" t="s">
        <v>1365</v>
      </c>
      <c r="O531" s="1">
        <v>10</v>
      </c>
      <c r="Q531" s="1" t="str">
        <f>VLOOKUP(AB531,[1]Operational_Profit_Type_ID!$A$2:$B$3,2,FALSE)</f>
        <v>Calculated</v>
      </c>
      <c r="R531" s="1" t="s">
        <v>55</v>
      </c>
      <c r="T531" s="1" t="str">
        <f>VLOOKUP(AD531,[1]UpdateRightID!$A$2:$B$4,2,FALSE)</f>
        <v>none</v>
      </c>
      <c r="U531" s="1" t="s">
        <v>48</v>
      </c>
      <c r="V531" s="1">
        <v>16</v>
      </c>
      <c r="W531" s="1">
        <v>7</v>
      </c>
      <c r="X531" s="1">
        <v>1</v>
      </c>
      <c r="Y531" s="1">
        <v>0</v>
      </c>
      <c r="Z531" s="1">
        <v>1</v>
      </c>
      <c r="AA531" s="1">
        <v>1</v>
      </c>
      <c r="AB531" s="1">
        <v>2</v>
      </c>
      <c r="AC531" s="1">
        <v>2</v>
      </c>
      <c r="AD531" s="1">
        <v>0</v>
      </c>
      <c r="AE531" s="1">
        <v>6</v>
      </c>
    </row>
    <row r="532" spans="1:31" ht="90">
      <c r="A532" s="1" t="s">
        <v>43</v>
      </c>
      <c r="B532" s="1" t="s">
        <v>1419</v>
      </c>
      <c r="C532" t="s">
        <v>1420</v>
      </c>
      <c r="D532" s="1" t="s">
        <v>1421</v>
      </c>
      <c r="E532" s="1" t="str">
        <f>VLOOKUP(Z532,[1]LicenseDuration_ID!$A$2:$B$8,2,FALSE)</f>
        <v>12 months / yearly automatically renewed</v>
      </c>
      <c r="F532" s="1" t="str">
        <f>VLOOKUP(AA532,[1]MaintenanceDuration_ID!$A$2:$B$5,2,FALSE)</f>
        <v>12 months / yearly automatically renewed</v>
      </c>
      <c r="G532" s="1" t="str">
        <f>VLOOKUP(V532,[1]ExpectedDeliveryTime_ID!$A$2:$B$12,2,FALSE)</f>
        <v>FINALIZED PURCHASE PROCESS + 2 weeks</v>
      </c>
      <c r="H532" s="1" t="str">
        <f>VLOOKUP(AC532,[1]PaymentModel_ID!$A$2:$B$7,2,FALSE)</f>
        <v>Annual subscription</v>
      </c>
      <c r="I532" s="1" t="str">
        <f>VLOOKUP(W532,[1]ExpectedInvoiceDate_ID!$A$2:$B$12,2,FALSE)</f>
        <v>First payment due after FINAL DELIVERY / Recurring payment based on LICENSE PERIOD</v>
      </c>
      <c r="J532" s="1" t="str">
        <f>VLOOKUP(X532,[1]GrantOfRights_ID!$A$2:$B$7,2,FALSE)</f>
        <v>Elektrobit Tooling Licence</v>
      </c>
      <c r="K532" s="1" t="str">
        <f>VLOOKUP(AE532,[1]Profile!$A$2:$B$8,2,FALSE)</f>
        <v>License</v>
      </c>
      <c r="M532" s="1" t="str">
        <f>VLOOKUP(Y532,[1]License_Method_ID!$A$2:$B$13,2,FALSE)</f>
        <v>FlexNet Publisher Application Activation Code</v>
      </c>
      <c r="N532" s="1" t="s">
        <v>1365</v>
      </c>
      <c r="O532" s="1">
        <v>10</v>
      </c>
      <c r="Q532" s="1" t="str">
        <f>VLOOKUP(AB532,[1]Operational_Profit_Type_ID!$A$2:$B$3,2,FALSE)</f>
        <v>Fix rate</v>
      </c>
      <c r="R532" s="1" t="s">
        <v>55</v>
      </c>
      <c r="T532" s="1" t="str">
        <f>VLOOKUP(AD532,[1]UpdateRightID!$A$2:$B$4,2,FALSE)</f>
        <v>UpdateRightByConfiguration</v>
      </c>
      <c r="U532" s="1" t="s">
        <v>48</v>
      </c>
      <c r="V532" s="1">
        <v>2</v>
      </c>
      <c r="W532" s="1">
        <v>3</v>
      </c>
      <c r="X532" s="1">
        <v>2</v>
      </c>
      <c r="Y532" s="1">
        <v>1</v>
      </c>
      <c r="Z532" s="1">
        <v>5</v>
      </c>
      <c r="AA532" s="1">
        <v>4</v>
      </c>
      <c r="AB532" s="1">
        <v>1</v>
      </c>
      <c r="AC532" s="1">
        <v>4</v>
      </c>
      <c r="AD532" s="1">
        <v>1</v>
      </c>
      <c r="AE532" s="1">
        <v>1</v>
      </c>
    </row>
    <row r="533" spans="1:31" ht="75">
      <c r="A533" s="1" t="s">
        <v>43</v>
      </c>
      <c r="B533" s="1" t="s">
        <v>1422</v>
      </c>
      <c r="C533" t="s">
        <v>1423</v>
      </c>
      <c r="D533" s="1" t="s">
        <v>1424</v>
      </c>
      <c r="E533" s="1" t="str">
        <f>VLOOKUP(Z533,[1]LicenseDuration_ID!$A$2:$B$8,2,FALSE)</f>
        <v>n/a</v>
      </c>
      <c r="F533" s="1" t="str">
        <f>VLOOKUP(AA533,[1]MaintenanceDuration_ID!$A$2:$B$5,2,FALSE)</f>
        <v>n/a</v>
      </c>
      <c r="G533" s="1" t="str">
        <f>VLOOKUP(V533,[1]ExpectedDeliveryTime_ID!$A$2:$B$12,2,FALSE)</f>
        <v>In mutual alignment with the project</v>
      </c>
      <c r="H533" s="1" t="str">
        <f>VLOOKUP(AC533,[1]PaymentModel_ID!$A$2:$B$7,2,FALSE)</f>
        <v>One-time payment</v>
      </c>
      <c r="I533" s="1" t="str">
        <f>VLOOKUP(W533,[1]ExpectedInvoiceDate_ID!$A$2:$B$12,2,FALSE)</f>
        <v>With FINALIZED PURCHASE PROCESS</v>
      </c>
      <c r="J533" s="1" t="str">
        <f>VLOOKUP(X533,[1]GrantOfRights_ID!$A$2:$B$7,2,FALSE)</f>
        <v>n/a</v>
      </c>
      <c r="K533" s="1" t="str">
        <f>VLOOKUP(AE533,[1]Profile!$A$2:$B$8,2,FALSE)</f>
        <v>Product related service without profile</v>
      </c>
      <c r="M533" s="1" t="str">
        <f>VLOOKUP(Y533,[1]License_Method_ID!$A$2:$B$13,2,FALSE)</f>
        <v>no technical license protection</v>
      </c>
      <c r="N533" s="1" t="s">
        <v>1365</v>
      </c>
      <c r="O533" s="1">
        <v>10</v>
      </c>
      <c r="Q533" s="1" t="str">
        <f>VLOOKUP(AB533,[1]Operational_Profit_Type_ID!$A$2:$B$3,2,FALSE)</f>
        <v>Calculated</v>
      </c>
      <c r="R533" s="1" t="s">
        <v>55</v>
      </c>
      <c r="S533" s="1">
        <v>10</v>
      </c>
      <c r="T533" s="1" t="str">
        <f>VLOOKUP(AD533,[1]UpdateRightID!$A$2:$B$4,2,FALSE)</f>
        <v>none</v>
      </c>
      <c r="U533" s="1" t="s">
        <v>48</v>
      </c>
      <c r="V533" s="1">
        <v>18</v>
      </c>
      <c r="W533" s="1">
        <v>8</v>
      </c>
      <c r="X533" s="1">
        <v>1</v>
      </c>
      <c r="Y533" s="1">
        <v>0</v>
      </c>
      <c r="Z533" s="1">
        <v>1</v>
      </c>
      <c r="AA533" s="1">
        <v>1</v>
      </c>
      <c r="AB533" s="1">
        <v>2</v>
      </c>
      <c r="AC533" s="1">
        <v>2</v>
      </c>
      <c r="AD533" s="1">
        <v>0</v>
      </c>
      <c r="AE533" s="1">
        <v>0</v>
      </c>
    </row>
    <row r="534" spans="1:31" ht="75">
      <c r="A534" s="1" t="s">
        <v>43</v>
      </c>
      <c r="B534" s="1" t="s">
        <v>1425</v>
      </c>
      <c r="C534" t="s">
        <v>1426</v>
      </c>
      <c r="D534" s="1" t="s">
        <v>1427</v>
      </c>
      <c r="E534" s="1" t="str">
        <f>VLOOKUP(Z534,[1]LicenseDuration_ID!$A$2:$B$8,2,FALSE)</f>
        <v>n/a</v>
      </c>
      <c r="F534" s="1" t="str">
        <f>VLOOKUP(AA534,[1]MaintenanceDuration_ID!$A$2:$B$5,2,FALSE)</f>
        <v>n/a</v>
      </c>
      <c r="G534" s="1" t="str">
        <f>VLOOKUP(V534,[1]ExpectedDeliveryTime_ID!$A$2:$B$12,2,FALSE)</f>
        <v>In mutual alignment with the project</v>
      </c>
      <c r="H534" s="1" t="str">
        <f>VLOOKUP(AC534,[1]PaymentModel_ID!$A$2:$B$7,2,FALSE)</f>
        <v>One-time payment</v>
      </c>
      <c r="I534" s="1" t="str">
        <f>VLOOKUP(W534,[1]ExpectedInvoiceDate_ID!$A$2:$B$12,2,FALSE)</f>
        <v>With FINALIZED PURCHASE PROCESS</v>
      </c>
      <c r="J534" s="1" t="str">
        <f>VLOOKUP(X534,[1]GrantOfRights_ID!$A$2:$B$7,2,FALSE)</f>
        <v>n/a</v>
      </c>
      <c r="K534" s="1" t="str">
        <f>VLOOKUP(AE534,[1]Profile!$A$2:$B$8,2,FALSE)</f>
        <v>Product related service without profile</v>
      </c>
      <c r="M534" s="1" t="str">
        <f>VLOOKUP(Y534,[1]License_Method_ID!$A$2:$B$13,2,FALSE)</f>
        <v>ADTF Node-Locked License File</v>
      </c>
      <c r="N534" s="1" t="s">
        <v>1365</v>
      </c>
      <c r="O534" s="1">
        <v>10</v>
      </c>
      <c r="Q534" s="1" t="str">
        <f>VLOOKUP(AB534,[1]Operational_Profit_Type_ID!$A$2:$B$3,2,FALSE)</f>
        <v>Calculated</v>
      </c>
      <c r="R534" s="1" t="s">
        <v>55</v>
      </c>
      <c r="T534" s="1" t="str">
        <f>VLOOKUP(AD534,[1]UpdateRightID!$A$2:$B$4,2,FALSE)</f>
        <v>none</v>
      </c>
      <c r="U534" s="1" t="s">
        <v>48</v>
      </c>
      <c r="V534" s="1">
        <v>18</v>
      </c>
      <c r="W534" s="1">
        <v>8</v>
      </c>
      <c r="X534" s="1">
        <v>1</v>
      </c>
      <c r="Y534" s="1">
        <v>7</v>
      </c>
      <c r="Z534" s="1">
        <v>1</v>
      </c>
      <c r="AA534" s="1">
        <v>1</v>
      </c>
      <c r="AB534" s="1">
        <v>2</v>
      </c>
      <c r="AC534" s="1">
        <v>2</v>
      </c>
      <c r="AD534" s="1">
        <v>0</v>
      </c>
      <c r="AE534" s="1">
        <v>0</v>
      </c>
    </row>
    <row r="535" spans="1:31" ht="90">
      <c r="A535" s="1" t="s">
        <v>43</v>
      </c>
      <c r="B535" s="1" t="s">
        <v>1428</v>
      </c>
      <c r="C535" t="s">
        <v>1429</v>
      </c>
      <c r="D535" s="1" t="s">
        <v>1430</v>
      </c>
      <c r="E535" s="1" t="str">
        <f>VLOOKUP(Z535,[1]LicenseDuration_ID!$A$2:$B$8,2,FALSE)</f>
        <v>12 months / yearly automatically renewed</v>
      </c>
      <c r="F535" s="1" t="str">
        <f>VLOOKUP(AA535,[1]MaintenanceDuration_ID!$A$2:$B$5,2,FALSE)</f>
        <v>12 months / yearly automatically renewed</v>
      </c>
      <c r="G535" s="1" t="str">
        <f>VLOOKUP(V535,[1]ExpectedDeliveryTime_ID!$A$2:$B$12,2,FALSE)</f>
        <v>FINALIZED PURCHASE PROCESS + 2 weeks</v>
      </c>
      <c r="H535" s="1" t="str">
        <f>VLOOKUP(AC535,[1]PaymentModel_ID!$A$2:$B$7,2,FALSE)</f>
        <v>Annual subscription</v>
      </c>
      <c r="I535" s="1" t="str">
        <f>VLOOKUP(W535,[1]ExpectedInvoiceDate_ID!$A$2:$B$12,2,FALSE)</f>
        <v>First payment due after FINAL DELIVERY / Recurring payment based on LICENSE PERIOD</v>
      </c>
      <c r="J535" s="1" t="str">
        <f>VLOOKUP(X535,[1]GrantOfRights_ID!$A$2:$B$7,2,FALSE)</f>
        <v>Development License</v>
      </c>
      <c r="K535" s="1" t="str">
        <f>VLOOKUP(AE535,[1]Profile!$A$2:$B$8,2,FALSE)</f>
        <v>License</v>
      </c>
      <c r="M535" s="1" t="str">
        <f>VLOOKUP(Y535,[1]License_Method_ID!$A$2:$B$13,2,FALSE)</f>
        <v>no technical license protection</v>
      </c>
      <c r="N535" s="1" t="s">
        <v>1365</v>
      </c>
      <c r="O535" s="1">
        <v>10</v>
      </c>
      <c r="Q535" s="1" t="str">
        <f>VLOOKUP(AB535,[1]Operational_Profit_Type_ID!$A$2:$B$3,2,FALSE)</f>
        <v>Fix rate</v>
      </c>
      <c r="R535" s="1" t="s">
        <v>48</v>
      </c>
      <c r="S535" s="1">
        <v>20</v>
      </c>
      <c r="T535" s="1" t="str">
        <f>VLOOKUP(AD535,[1]UpdateRightID!$A$2:$B$4,2,FALSE)</f>
        <v>UpdateRightByConfiguration</v>
      </c>
      <c r="U535" s="1" t="s">
        <v>48</v>
      </c>
      <c r="V535" s="1">
        <v>2</v>
      </c>
      <c r="W535" s="1">
        <v>3</v>
      </c>
      <c r="X535" s="1">
        <v>4</v>
      </c>
      <c r="Y535" s="1">
        <v>0</v>
      </c>
      <c r="Z535" s="1">
        <v>5</v>
      </c>
      <c r="AA535" s="1">
        <v>4</v>
      </c>
      <c r="AB535" s="1">
        <v>1</v>
      </c>
      <c r="AC535" s="1">
        <v>4</v>
      </c>
      <c r="AD535" s="1">
        <v>1</v>
      </c>
      <c r="AE535" s="1">
        <v>1</v>
      </c>
    </row>
    <row r="536" spans="1:31" ht="75">
      <c r="A536" s="1" t="s">
        <v>43</v>
      </c>
      <c r="B536" s="1" t="s">
        <v>1431</v>
      </c>
      <c r="C536" t="s">
        <v>1432</v>
      </c>
      <c r="E536" s="1" t="str">
        <f>VLOOKUP(Z536,[1]LicenseDuration_ID!$A$2:$B$8,2,FALSE)</f>
        <v>n/a</v>
      </c>
      <c r="F536" s="1" t="str">
        <f>VLOOKUP(AA536,[1]MaintenanceDuration_ID!$A$2:$B$5,2,FALSE)</f>
        <v>n/a</v>
      </c>
      <c r="G536" s="1" t="str">
        <f>VLOOKUP(V536,[1]ExpectedDeliveryTime_ID!$A$2:$B$12,2,FALSE)</f>
        <v>In mutual alignment with the project</v>
      </c>
      <c r="H536" s="1" t="str">
        <f>VLOOKUP(AC536,[1]PaymentModel_ID!$A$2:$B$7,2,FALSE)</f>
        <v>One-time payment</v>
      </c>
      <c r="I536" s="1" t="str">
        <f>VLOOKUP(W536,[1]ExpectedInvoiceDate_ID!$A$2:$B$12,2,FALSE)</f>
        <v>With FINAL DELIVERY</v>
      </c>
      <c r="J536" s="1" t="str">
        <f>VLOOKUP(X536,[1]GrantOfRights_ID!$A$2:$B$7,2,FALSE)</f>
        <v>n/a</v>
      </c>
      <c r="K536" s="1" t="str">
        <f>VLOOKUP(AE536,[1]Profile!$A$2:$B$8,2,FALSE)</f>
        <v>Product related service without profile</v>
      </c>
      <c r="M536" s="1" t="str">
        <f>VLOOKUP(Y536,[1]License_Method_ID!$A$2:$B$13,2,FALSE)</f>
        <v>no technical license protection</v>
      </c>
      <c r="N536" s="1" t="s">
        <v>88</v>
      </c>
      <c r="O536" s="1">
        <v>10</v>
      </c>
      <c r="Q536" s="1" t="str">
        <f>VLOOKUP(AB536,[1]Operational_Profit_Type_ID!$A$2:$B$3,2,FALSE)</f>
        <v>Calculated</v>
      </c>
      <c r="R536" s="1" t="s">
        <v>55</v>
      </c>
      <c r="T536" s="1" t="str">
        <f>VLOOKUP(AD536,[1]UpdateRightID!$A$2:$B$4,2,FALSE)</f>
        <v>none</v>
      </c>
      <c r="U536" s="1" t="s">
        <v>48</v>
      </c>
      <c r="V536" s="1">
        <v>18</v>
      </c>
      <c r="W536" s="1">
        <v>7</v>
      </c>
      <c r="X536" s="1">
        <v>1</v>
      </c>
      <c r="Y536" s="1">
        <v>0</v>
      </c>
      <c r="Z536" s="1">
        <v>1</v>
      </c>
      <c r="AA536" s="1">
        <v>1</v>
      </c>
      <c r="AB536" s="1">
        <v>2</v>
      </c>
      <c r="AC536" s="1">
        <v>2</v>
      </c>
      <c r="AD536" s="1">
        <v>0</v>
      </c>
      <c r="AE536" s="1">
        <v>0</v>
      </c>
    </row>
    <row r="537" spans="1:31" ht="135">
      <c r="A537" s="1" t="s">
        <v>43</v>
      </c>
      <c r="B537" s="1" t="s">
        <v>1433</v>
      </c>
      <c r="C537" t="s">
        <v>1434</v>
      </c>
      <c r="D537" s="1" t="s">
        <v>1435</v>
      </c>
      <c r="E537" s="1" t="str">
        <f>VLOOKUP(Z537,[1]LicenseDuration_ID!$A$2:$B$8,2,FALSE)</f>
        <v>n/a</v>
      </c>
      <c r="F537" s="1" t="str">
        <f>VLOOKUP(AA537,[1]MaintenanceDuration_ID!$A$2:$B$5,2,FALSE)</f>
        <v>n/a</v>
      </c>
      <c r="G537" s="1" t="str">
        <f>VLOOKUP(V537,[1]ExpectedDeliveryTime_ID!$A$2:$B$12,2,FALSE)</f>
        <v>n/a</v>
      </c>
      <c r="H537" s="1" t="str">
        <f>VLOOKUP(AC537,[1]PaymentModel_ID!$A$2:$B$7,2,FALSE)</f>
        <v>Per unit</v>
      </c>
      <c r="I537" s="1" t="str">
        <f>VLOOKUP(W537,[1]ExpectedInvoiceDate_ID!$A$2:$B$12,2,FALSE)</f>
        <v>Monthly based on units</v>
      </c>
      <c r="J537" s="1" t="str">
        <f>VLOOKUP(X537,[1]GrantOfRights_ID!$A$2:$B$7,2,FALSE)</f>
        <v>n/a</v>
      </c>
      <c r="K537" s="1" t="str">
        <f>VLOOKUP(AE537,[1]Profile!$A$2:$B$8,2,FALSE)</f>
        <v>License</v>
      </c>
      <c r="M537" s="1" t="str">
        <f>VLOOKUP(Y537,[1]License_Method_ID!$A$2:$B$13,2,FALSE)</f>
        <v>no technical license protection</v>
      </c>
      <c r="N537" s="1" t="s">
        <v>1365</v>
      </c>
      <c r="O537" s="1">
        <v>10</v>
      </c>
      <c r="Q537" s="1" t="str">
        <f>VLOOKUP(AB537,[1]Operational_Profit_Type_ID!$A$2:$B$3,2,FALSE)</f>
        <v>Fix rate</v>
      </c>
      <c r="R537" s="1" t="s">
        <v>55</v>
      </c>
      <c r="T537" s="1" t="str">
        <f>VLOOKUP(AD537,[1]UpdateRightID!$A$2:$B$4,2,FALSE)</f>
        <v>none</v>
      </c>
      <c r="U537" s="1" t="s">
        <v>48</v>
      </c>
      <c r="V537" s="1">
        <v>1</v>
      </c>
      <c r="W537" s="1">
        <v>5</v>
      </c>
      <c r="X537" s="1">
        <v>1</v>
      </c>
      <c r="Y537" s="1">
        <v>0</v>
      </c>
      <c r="Z537" s="1">
        <v>1</v>
      </c>
      <c r="AA537" s="1">
        <v>1</v>
      </c>
      <c r="AB537" s="1">
        <v>1</v>
      </c>
      <c r="AC537" s="1">
        <v>6</v>
      </c>
      <c r="AD537" s="1">
        <v>0</v>
      </c>
      <c r="AE537" s="1">
        <v>1</v>
      </c>
    </row>
    <row r="538" spans="1:31" ht="150">
      <c r="A538" s="1" t="s">
        <v>43</v>
      </c>
      <c r="B538" s="1" t="s">
        <v>1436</v>
      </c>
      <c r="C538" t="s">
        <v>1437</v>
      </c>
      <c r="D538" s="1" t="s">
        <v>1438</v>
      </c>
      <c r="E538" s="1" t="str">
        <f>VLOOKUP(Z538,[1]LicenseDuration_ID!$A$2:$B$8,2,FALSE)</f>
        <v>n/a</v>
      </c>
      <c r="F538" s="1" t="str">
        <f>VLOOKUP(AA538,[1]MaintenanceDuration_ID!$A$2:$B$5,2,FALSE)</f>
        <v>12 months / yearly automatically renewed</v>
      </c>
      <c r="G538" s="1" t="str">
        <f>VLOOKUP(V538,[1]ExpectedDeliveryTime_ID!$A$2:$B$12,2,FALSE)</f>
        <v>n/a</v>
      </c>
      <c r="H538" s="1" t="str">
        <f>VLOOKUP(AC538,[1]PaymentModel_ID!$A$2:$B$7,2,FALSE)</f>
        <v>Annual subscription</v>
      </c>
      <c r="I538" s="1" t="str">
        <f>VLOOKUP(W538,[1]ExpectedInvoiceDate_ID!$A$2:$B$12,2,FALSE)</f>
        <v>Anually at the beginning of the extended period</v>
      </c>
      <c r="J538" s="1" t="str">
        <f>VLOOKUP(X538,[1]GrantOfRights_ID!$A$2:$B$7,2,FALSE)</f>
        <v>n/a</v>
      </c>
      <c r="K538" s="1" t="str">
        <f>VLOOKUP(AE538,[1]Profile!$A$2:$B$8,2,FALSE)</f>
        <v>License</v>
      </c>
      <c r="M538" s="1" t="str">
        <f>VLOOKUP(Y538,[1]License_Method_ID!$A$2:$B$13,2,FALSE)</f>
        <v>no technical license protection</v>
      </c>
      <c r="N538" s="1" t="s">
        <v>1365</v>
      </c>
      <c r="O538" s="1">
        <v>10</v>
      </c>
      <c r="Q538" s="1" t="str">
        <f>VLOOKUP(AB538,[1]Operational_Profit_Type_ID!$A$2:$B$3,2,FALSE)</f>
        <v>Fix rate</v>
      </c>
      <c r="R538" s="1" t="s">
        <v>55</v>
      </c>
      <c r="T538" s="1" t="str">
        <f>VLOOKUP(AD538,[1]UpdateRightID!$A$2:$B$4,2,FALSE)</f>
        <v>TotalAmountAsUpdateRight</v>
      </c>
      <c r="U538" s="1" t="s">
        <v>48</v>
      </c>
      <c r="V538" s="1">
        <v>1</v>
      </c>
      <c r="W538" s="1">
        <v>2</v>
      </c>
      <c r="X538" s="1">
        <v>1</v>
      </c>
      <c r="Y538" s="1">
        <v>0</v>
      </c>
      <c r="Z538" s="1">
        <v>1</v>
      </c>
      <c r="AA538" s="1">
        <v>4</v>
      </c>
      <c r="AB538" s="1">
        <v>1</v>
      </c>
      <c r="AC538" s="1">
        <v>4</v>
      </c>
      <c r="AD538" s="1">
        <v>2</v>
      </c>
      <c r="AE538" s="1">
        <v>1</v>
      </c>
    </row>
    <row r="539" spans="1:31" ht="75">
      <c r="A539" s="1" t="s">
        <v>43</v>
      </c>
      <c r="B539" s="1" t="s">
        <v>1439</v>
      </c>
      <c r="C539" t="s">
        <v>1440</v>
      </c>
      <c r="E539" s="1" t="str">
        <f>VLOOKUP(Z539,[1]LicenseDuration_ID!$A$2:$B$8,2,FALSE)</f>
        <v>n/a</v>
      </c>
      <c r="F539" s="1" t="str">
        <f>VLOOKUP(AA539,[1]MaintenanceDuration_ID!$A$2:$B$5,2,FALSE)</f>
        <v>n/a</v>
      </c>
      <c r="G539" s="1" t="str">
        <f>VLOOKUP(V539,[1]ExpectedDeliveryTime_ID!$A$2:$B$12,2,FALSE)</f>
        <v>In mutual alignment with the project</v>
      </c>
      <c r="H539" s="1" t="str">
        <f>VLOOKUP(AC539,[1]PaymentModel_ID!$A$2:$B$7,2,FALSE)</f>
        <v>Monthly based on effort</v>
      </c>
      <c r="I539" s="1" t="str">
        <f>VLOOKUP(W539,[1]ExpectedInvoiceDate_ID!$A$2:$B$12,2,FALSE)</f>
        <v>Monthly based on effort</v>
      </c>
      <c r="J539" s="1" t="str">
        <f>VLOOKUP(X539,[1]GrantOfRights_ID!$A$2:$B$7,2,FALSE)</f>
        <v>n/a</v>
      </c>
      <c r="K539" s="1" t="str">
        <f>VLOOKUP(AE539,[1]Profile!$A$2:$B$8,2,FALSE)</f>
        <v>Product related service without profile</v>
      </c>
      <c r="M539" s="1" t="str">
        <f>VLOOKUP(Y539,[1]License_Method_ID!$A$2:$B$13,2,FALSE)</f>
        <v>no technical license protection</v>
      </c>
      <c r="N539" s="1" t="s">
        <v>1365</v>
      </c>
      <c r="O539" s="1">
        <v>10</v>
      </c>
      <c r="Q539" s="1" t="str">
        <f>VLOOKUP(AB539,[1]Operational_Profit_Type_ID!$A$2:$B$3,2,FALSE)</f>
        <v>Calculated</v>
      </c>
      <c r="R539" s="1" t="s">
        <v>55</v>
      </c>
      <c r="T539" s="1" t="str">
        <f>VLOOKUP(AD539,[1]UpdateRightID!$A$2:$B$4,2,FALSE)</f>
        <v>none</v>
      </c>
      <c r="U539" s="1" t="s">
        <v>48</v>
      </c>
      <c r="V539" s="1">
        <v>18</v>
      </c>
      <c r="W539" s="1">
        <v>4</v>
      </c>
      <c r="X539" s="1">
        <v>1</v>
      </c>
      <c r="Y539" s="1">
        <v>0</v>
      </c>
      <c r="Z539" s="1">
        <v>1</v>
      </c>
      <c r="AA539" s="1">
        <v>1</v>
      </c>
      <c r="AB539" s="1">
        <v>2</v>
      </c>
      <c r="AC539" s="1">
        <v>5</v>
      </c>
      <c r="AD539" s="1">
        <v>0</v>
      </c>
      <c r="AE539" s="1">
        <v>0</v>
      </c>
    </row>
    <row r="540" spans="1:31" ht="330">
      <c r="A540" s="1" t="s">
        <v>43</v>
      </c>
      <c r="B540" s="1" t="s">
        <v>1441</v>
      </c>
      <c r="C540" t="s">
        <v>1442</v>
      </c>
      <c r="D540" s="9" t="s">
        <v>1443</v>
      </c>
      <c r="E540" s="1" t="str">
        <f>VLOOKUP(Z540,[1]LicenseDuration_ID!$A$2:$B$8,2,FALSE)</f>
        <v>n/a</v>
      </c>
      <c r="F540" s="1" t="str">
        <f>VLOOKUP(AA540,[1]MaintenanceDuration_ID!$A$2:$B$5,2,FALSE)</f>
        <v>12 months / yearly automatically renewed</v>
      </c>
      <c r="G540" s="1" t="str">
        <f>VLOOKUP(V540,[1]ExpectedDeliveryTime_ID!$A$2:$B$12,2,FALSE)</f>
        <v>n/a</v>
      </c>
      <c r="H540" s="1" t="str">
        <f>VLOOKUP(AC540,[1]PaymentModel_ID!$A$2:$B$7,2,FALSE)</f>
        <v>Annual subscription</v>
      </c>
      <c r="I540" s="1" t="str">
        <f>VLOOKUP(W540,[1]ExpectedInvoiceDate_ID!$A$2:$B$12,2,FALSE)</f>
        <v>Anually at the beginning of the extended period</v>
      </c>
      <c r="J540" s="1" t="str">
        <f>VLOOKUP(X540,[1]GrantOfRights_ID!$A$2:$B$7,2,FALSE)</f>
        <v>n/a</v>
      </c>
      <c r="K540" s="1" t="str">
        <f>VLOOKUP(AE540,[1]Profile!$A$2:$B$8,2,FALSE)</f>
        <v>License</v>
      </c>
      <c r="M540" s="1" t="str">
        <f>VLOOKUP(Y540,[1]License_Method_ID!$A$2:$B$13,2,FALSE)</f>
        <v>no technical license protection</v>
      </c>
      <c r="N540" s="1" t="s">
        <v>1365</v>
      </c>
      <c r="O540" s="1">
        <v>10</v>
      </c>
      <c r="Q540" s="1" t="str">
        <f>VLOOKUP(AB540,[1]Operational_Profit_Type_ID!$A$2:$B$3,2,FALSE)</f>
        <v>Fix rate</v>
      </c>
      <c r="R540" s="1" t="s">
        <v>55</v>
      </c>
      <c r="T540" s="1" t="str">
        <f>VLOOKUP(AD540,[1]UpdateRightID!$A$2:$B$4,2,FALSE)</f>
        <v>TotalAmountAsUpdateRight</v>
      </c>
      <c r="U540" s="1" t="s">
        <v>48</v>
      </c>
      <c r="V540" s="1">
        <v>1</v>
      </c>
      <c r="W540" s="1">
        <v>2</v>
      </c>
      <c r="X540" s="1">
        <v>1</v>
      </c>
      <c r="Y540" s="1">
        <v>0</v>
      </c>
      <c r="Z540" s="1">
        <v>1</v>
      </c>
      <c r="AA540" s="1">
        <v>4</v>
      </c>
      <c r="AB540" s="1">
        <v>1</v>
      </c>
      <c r="AC540" s="1">
        <v>4</v>
      </c>
      <c r="AD540" s="1">
        <v>2</v>
      </c>
      <c r="AE540" s="1">
        <v>1</v>
      </c>
    </row>
    <row r="541" spans="1:31" ht="45">
      <c r="A541" s="1" t="s">
        <v>43</v>
      </c>
      <c r="B541" s="1" t="s">
        <v>1444</v>
      </c>
      <c r="C541" t="s">
        <v>1445</v>
      </c>
      <c r="D541" s="1" t="s">
        <v>1446</v>
      </c>
      <c r="E541" s="1" t="str">
        <f>VLOOKUP(Z541,[1]LicenseDuration_ID!$A$2:$B$8,2,FALSE)</f>
        <v>n/a</v>
      </c>
      <c r="F541" s="1" t="str">
        <f>VLOOKUP(AA541,[1]MaintenanceDuration_ID!$A$2:$B$5,2,FALSE)</f>
        <v>n/a</v>
      </c>
      <c r="G541" s="1" t="str">
        <f>VLOOKUP(V541,[1]ExpectedDeliveryTime_ID!$A$2:$B$12,2,FALSE)</f>
        <v>FINALIZED PURCHASE PROCESS + 2 weeks</v>
      </c>
      <c r="H541" s="1" t="str">
        <f>VLOOKUP(AC541,[1]PaymentModel_ID!$A$2:$B$7,2,FALSE)</f>
        <v>One-time payment</v>
      </c>
      <c r="I541" s="1" t="str">
        <f>VLOOKUP(W541,[1]ExpectedInvoiceDate_ID!$A$2:$B$12,2,FALSE)</f>
        <v>With FINAL DELIVERY</v>
      </c>
      <c r="J541" s="1" t="str">
        <f>VLOOKUP(X541,[1]GrantOfRights_ID!$A$2:$B$7,2,FALSE)</f>
        <v>n/a</v>
      </c>
      <c r="K541" s="1" t="str">
        <f>VLOOKUP(AE541,[1]Profile!$A$2:$B$8,2,FALSE)</f>
        <v>License</v>
      </c>
      <c r="M541" s="1" t="str">
        <f>VLOOKUP(Y541,[1]License_Method_ID!$A$2:$B$13,2,FALSE)</f>
        <v>no technical license protection</v>
      </c>
      <c r="N541" s="1" t="s">
        <v>1365</v>
      </c>
      <c r="O541" s="1">
        <v>10</v>
      </c>
      <c r="Q541" s="1" t="str">
        <f>VLOOKUP(AB541,[1]Operational_Profit_Type_ID!$A$2:$B$3,2,FALSE)</f>
        <v>Fix rate</v>
      </c>
      <c r="R541" s="1" t="s">
        <v>55</v>
      </c>
      <c r="T541" s="1" t="str">
        <f>VLOOKUP(AD541,[1]UpdateRightID!$A$2:$B$4,2,FALSE)</f>
        <v>none</v>
      </c>
      <c r="U541" s="1" t="s">
        <v>48</v>
      </c>
      <c r="V541" s="1">
        <v>2</v>
      </c>
      <c r="W541" s="1">
        <v>7</v>
      </c>
      <c r="X541" s="1">
        <v>1</v>
      </c>
      <c r="Y541" s="1">
        <v>0</v>
      </c>
      <c r="Z541" s="1">
        <v>1</v>
      </c>
      <c r="AA541" s="1">
        <v>1</v>
      </c>
      <c r="AB541" s="1">
        <v>1</v>
      </c>
      <c r="AC541" s="1">
        <v>2</v>
      </c>
      <c r="AD541" s="1">
        <v>0</v>
      </c>
      <c r="AE541" s="1">
        <v>1</v>
      </c>
    </row>
    <row r="542" spans="1:31" ht="75">
      <c r="A542" s="1" t="s">
        <v>43</v>
      </c>
      <c r="B542" s="1" t="s">
        <v>1447</v>
      </c>
      <c r="C542" t="s">
        <v>1448</v>
      </c>
      <c r="E542" s="1" t="str">
        <f>VLOOKUP(Z542,[1]LicenseDuration_ID!$A$2:$B$8,2,FALSE)</f>
        <v>n/a</v>
      </c>
      <c r="F542" s="1" t="str">
        <f>VLOOKUP(AA542,[1]MaintenanceDuration_ID!$A$2:$B$5,2,FALSE)</f>
        <v>n/a</v>
      </c>
      <c r="G542" s="1" t="str">
        <f>VLOOKUP(V542,[1]ExpectedDeliveryTime_ID!$A$2:$B$12,2,FALSE)</f>
        <v>In mutual alignment with the project</v>
      </c>
      <c r="H542" s="1" t="str">
        <f>VLOOKUP(AC542,[1]PaymentModel_ID!$A$2:$B$7,2,FALSE)</f>
        <v>Monthly based on effort</v>
      </c>
      <c r="I542" s="1" t="str">
        <f>VLOOKUP(W542,[1]ExpectedInvoiceDate_ID!$A$2:$B$12,2,FALSE)</f>
        <v>Monthly based on effort</v>
      </c>
      <c r="J542" s="1" t="str">
        <f>VLOOKUP(X542,[1]GrantOfRights_ID!$A$2:$B$7,2,FALSE)</f>
        <v>n/a</v>
      </c>
      <c r="K542" s="1" t="str">
        <f>VLOOKUP(AE542,[1]Profile!$A$2:$B$8,2,FALSE)</f>
        <v>Product related service without profile</v>
      </c>
      <c r="M542" s="1" t="str">
        <f>VLOOKUP(Y542,[1]License_Method_ID!$A$2:$B$13,2,FALSE)</f>
        <v>no technical license protection</v>
      </c>
      <c r="N542" s="1" t="s">
        <v>1365</v>
      </c>
      <c r="O542" s="1">
        <v>0</v>
      </c>
      <c r="Q542" s="1" t="str">
        <f>VLOOKUP(AB542,[1]Operational_Profit_Type_ID!$A$2:$B$3,2,FALSE)</f>
        <v>Calculated</v>
      </c>
      <c r="R542" s="1" t="s">
        <v>55</v>
      </c>
      <c r="T542" s="1" t="str">
        <f>VLOOKUP(AD542,[1]UpdateRightID!$A$2:$B$4,2,FALSE)</f>
        <v>none</v>
      </c>
      <c r="U542" s="1" t="s">
        <v>48</v>
      </c>
      <c r="V542" s="1">
        <v>18</v>
      </c>
      <c r="W542" s="1">
        <v>4</v>
      </c>
      <c r="X542" s="1">
        <v>1</v>
      </c>
      <c r="Y542" s="1">
        <v>0</v>
      </c>
      <c r="Z542" s="1">
        <v>1</v>
      </c>
      <c r="AA542" s="1">
        <v>1</v>
      </c>
      <c r="AB542" s="1">
        <v>2</v>
      </c>
      <c r="AC542" s="1">
        <v>5</v>
      </c>
      <c r="AD542" s="1">
        <v>0</v>
      </c>
      <c r="AE542" s="1">
        <v>0</v>
      </c>
    </row>
    <row r="543" spans="1:31" ht="75">
      <c r="A543" s="1" t="s">
        <v>43</v>
      </c>
      <c r="B543" s="1" t="s">
        <v>1449</v>
      </c>
      <c r="C543" t="s">
        <v>1450</v>
      </c>
      <c r="E543" s="1" t="str">
        <f>VLOOKUP(Z543,[1]LicenseDuration_ID!$A$2:$B$8,2,FALSE)</f>
        <v>n/a</v>
      </c>
      <c r="F543" s="1" t="str">
        <f>VLOOKUP(AA543,[1]MaintenanceDuration_ID!$A$2:$B$5,2,FALSE)</f>
        <v>n/a</v>
      </c>
      <c r="G543" s="1" t="str">
        <f>VLOOKUP(V543,[1]ExpectedDeliveryTime_ID!$A$2:$B$12,2,FALSE)</f>
        <v>In mutual alignment with the project</v>
      </c>
      <c r="H543" s="1" t="str">
        <f>VLOOKUP(AC543,[1]PaymentModel_ID!$A$2:$B$7,2,FALSE)</f>
        <v>Monthly based on effort</v>
      </c>
      <c r="I543" s="1" t="str">
        <f>VLOOKUP(W543,[1]ExpectedInvoiceDate_ID!$A$2:$B$12,2,FALSE)</f>
        <v>Monthly based on effort</v>
      </c>
      <c r="J543" s="1" t="str">
        <f>VLOOKUP(X543,[1]GrantOfRights_ID!$A$2:$B$7,2,FALSE)</f>
        <v>n/a</v>
      </c>
      <c r="K543" s="1" t="str">
        <f>VLOOKUP(AE543,[1]Profile!$A$2:$B$8,2,FALSE)</f>
        <v>Product related service without profile</v>
      </c>
      <c r="M543" s="1" t="str">
        <f>VLOOKUP(Y543,[1]License_Method_ID!$A$2:$B$13,2,FALSE)</f>
        <v>no technical license protection</v>
      </c>
      <c r="N543" s="1" t="s">
        <v>1365</v>
      </c>
      <c r="O543" s="1">
        <v>0</v>
      </c>
      <c r="Q543" s="1" t="str">
        <f>VLOOKUP(AB543,[1]Operational_Profit_Type_ID!$A$2:$B$3,2,FALSE)</f>
        <v>Calculated</v>
      </c>
      <c r="R543" s="1" t="s">
        <v>55</v>
      </c>
      <c r="T543" s="1" t="str">
        <f>VLOOKUP(AD543,[1]UpdateRightID!$A$2:$B$4,2,FALSE)</f>
        <v>none</v>
      </c>
      <c r="U543" s="1" t="s">
        <v>48</v>
      </c>
      <c r="V543" s="1">
        <v>18</v>
      </c>
      <c r="W543" s="1">
        <v>4</v>
      </c>
      <c r="X543" s="1">
        <v>1</v>
      </c>
      <c r="Y543" s="1">
        <v>0</v>
      </c>
      <c r="Z543" s="1">
        <v>1</v>
      </c>
      <c r="AA543" s="1">
        <v>1</v>
      </c>
      <c r="AB543" s="1">
        <v>2</v>
      </c>
      <c r="AC543" s="1">
        <v>5</v>
      </c>
      <c r="AD543" s="1">
        <v>0</v>
      </c>
      <c r="AE543" s="1">
        <v>0</v>
      </c>
    </row>
    <row r="544" spans="1:31" ht="75">
      <c r="A544" s="1" t="s">
        <v>43</v>
      </c>
      <c r="B544" s="1" t="s">
        <v>1451</v>
      </c>
      <c r="C544" t="s">
        <v>1452</v>
      </c>
      <c r="E544" s="1" t="str">
        <f>VLOOKUP(Z544,[1]LicenseDuration_ID!$A$2:$B$8,2,FALSE)</f>
        <v>n/a</v>
      </c>
      <c r="F544" s="1" t="str">
        <f>VLOOKUP(AA544,[1]MaintenanceDuration_ID!$A$2:$B$5,2,FALSE)</f>
        <v>n/a</v>
      </c>
      <c r="G544" s="1" t="str">
        <f>VLOOKUP(V544,[1]ExpectedDeliveryTime_ID!$A$2:$B$12,2,FALSE)</f>
        <v>In mutual alignment with the project</v>
      </c>
      <c r="H544" s="1" t="str">
        <f>VLOOKUP(AC544,[1]PaymentModel_ID!$A$2:$B$7,2,FALSE)</f>
        <v>Monthly based on effort</v>
      </c>
      <c r="I544" s="1" t="str">
        <f>VLOOKUP(W544,[1]ExpectedInvoiceDate_ID!$A$2:$B$12,2,FALSE)</f>
        <v>Monthly based on effort</v>
      </c>
      <c r="J544" s="1" t="str">
        <f>VLOOKUP(X544,[1]GrantOfRights_ID!$A$2:$B$7,2,FALSE)</f>
        <v>n/a</v>
      </c>
      <c r="K544" s="1" t="str">
        <f>VLOOKUP(AE544,[1]Profile!$A$2:$B$8,2,FALSE)</f>
        <v>Product related service without profile</v>
      </c>
      <c r="M544" s="1" t="str">
        <f>VLOOKUP(Y544,[1]License_Method_ID!$A$2:$B$13,2,FALSE)</f>
        <v>no technical license protection</v>
      </c>
      <c r="N544" s="1" t="s">
        <v>1365</v>
      </c>
      <c r="O544" s="1">
        <v>0</v>
      </c>
      <c r="Q544" s="1" t="str">
        <f>VLOOKUP(AB544,[1]Operational_Profit_Type_ID!$A$2:$B$3,2,FALSE)</f>
        <v>Calculated</v>
      </c>
      <c r="R544" s="1" t="s">
        <v>55</v>
      </c>
      <c r="T544" s="1" t="str">
        <f>VLOOKUP(AD544,[1]UpdateRightID!$A$2:$B$4,2,FALSE)</f>
        <v>none</v>
      </c>
      <c r="U544" s="1" t="s">
        <v>48</v>
      </c>
      <c r="V544" s="1">
        <v>18</v>
      </c>
      <c r="W544" s="1">
        <v>4</v>
      </c>
      <c r="X544" s="1">
        <v>1</v>
      </c>
      <c r="Y544" s="1">
        <v>0</v>
      </c>
      <c r="Z544" s="1">
        <v>1</v>
      </c>
      <c r="AA544" s="1">
        <v>1</v>
      </c>
      <c r="AB544" s="1">
        <v>2</v>
      </c>
      <c r="AC544" s="1">
        <v>5</v>
      </c>
      <c r="AD544" s="1">
        <v>0</v>
      </c>
      <c r="AE544" s="1">
        <v>0</v>
      </c>
    </row>
    <row r="545" spans="1:31" ht="75">
      <c r="A545" s="1" t="s">
        <v>43</v>
      </c>
      <c r="B545" s="1" t="s">
        <v>1453</v>
      </c>
      <c r="C545" t="s">
        <v>1454</v>
      </c>
      <c r="E545" s="1" t="str">
        <f>VLOOKUP(Z545,[1]LicenseDuration_ID!$A$2:$B$8,2,FALSE)</f>
        <v>n/a</v>
      </c>
      <c r="F545" s="1" t="str">
        <f>VLOOKUP(AA545,[1]MaintenanceDuration_ID!$A$2:$B$5,2,FALSE)</f>
        <v>n/a</v>
      </c>
      <c r="G545" s="1" t="str">
        <f>VLOOKUP(V545,[1]ExpectedDeliveryTime_ID!$A$2:$B$12,2,FALSE)</f>
        <v>In mutual alignment with the project</v>
      </c>
      <c r="H545" s="1" t="str">
        <f>VLOOKUP(AC545,[1]PaymentModel_ID!$A$2:$B$7,2,FALSE)</f>
        <v>Monthly based on effort</v>
      </c>
      <c r="I545" s="1" t="str">
        <f>VLOOKUP(W545,[1]ExpectedInvoiceDate_ID!$A$2:$B$12,2,FALSE)</f>
        <v>Monthly based on effort</v>
      </c>
      <c r="J545" s="1" t="str">
        <f>VLOOKUP(X545,[1]GrantOfRights_ID!$A$2:$B$7,2,FALSE)</f>
        <v>n/a</v>
      </c>
      <c r="K545" s="1" t="str">
        <f>VLOOKUP(AE545,[1]Profile!$A$2:$B$8,2,FALSE)</f>
        <v>Product related service without profile</v>
      </c>
      <c r="M545" s="1" t="str">
        <f>VLOOKUP(Y545,[1]License_Method_ID!$A$2:$B$13,2,FALSE)</f>
        <v>no technical license protection</v>
      </c>
      <c r="N545" s="1" t="s">
        <v>1365</v>
      </c>
      <c r="O545" s="1">
        <v>0</v>
      </c>
      <c r="Q545" s="1" t="str">
        <f>VLOOKUP(AB545,[1]Operational_Profit_Type_ID!$A$2:$B$3,2,FALSE)</f>
        <v>Calculated</v>
      </c>
      <c r="R545" s="1" t="s">
        <v>55</v>
      </c>
      <c r="T545" s="1" t="str">
        <f>VLOOKUP(AD545,[1]UpdateRightID!$A$2:$B$4,2,FALSE)</f>
        <v>none</v>
      </c>
      <c r="U545" s="1" t="s">
        <v>48</v>
      </c>
      <c r="V545" s="1">
        <v>18</v>
      </c>
      <c r="W545" s="1">
        <v>4</v>
      </c>
      <c r="X545" s="1">
        <v>1</v>
      </c>
      <c r="Y545" s="1">
        <v>0</v>
      </c>
      <c r="Z545" s="1">
        <v>1</v>
      </c>
      <c r="AA545" s="1">
        <v>1</v>
      </c>
      <c r="AB545" s="1">
        <v>2</v>
      </c>
      <c r="AC545" s="1">
        <v>5</v>
      </c>
      <c r="AD545" s="1">
        <v>0</v>
      </c>
      <c r="AE545" s="1">
        <v>0</v>
      </c>
    </row>
    <row r="546" spans="1:31" ht="75">
      <c r="A546" s="1" t="s">
        <v>43</v>
      </c>
      <c r="B546" s="1" t="s">
        <v>1455</v>
      </c>
      <c r="C546" t="s">
        <v>1456</v>
      </c>
      <c r="E546" s="1" t="str">
        <f>VLOOKUP(Z546,[1]LicenseDuration_ID!$A$2:$B$8,2,FALSE)</f>
        <v>n/a</v>
      </c>
      <c r="F546" s="1" t="str">
        <f>VLOOKUP(AA546,[1]MaintenanceDuration_ID!$A$2:$B$5,2,FALSE)</f>
        <v>n/a</v>
      </c>
      <c r="G546" s="1" t="str">
        <f>VLOOKUP(V546,[1]ExpectedDeliveryTime_ID!$A$2:$B$12,2,FALSE)</f>
        <v>In mutual alignment with the project</v>
      </c>
      <c r="H546" s="1" t="str">
        <f>VLOOKUP(AC546,[1]PaymentModel_ID!$A$2:$B$7,2,FALSE)</f>
        <v>Monthly based on effort</v>
      </c>
      <c r="I546" s="1" t="str">
        <f>VLOOKUP(W546,[1]ExpectedInvoiceDate_ID!$A$2:$B$12,2,FALSE)</f>
        <v>Monthly based on effort</v>
      </c>
      <c r="J546" s="1" t="str">
        <f>VLOOKUP(X546,[1]GrantOfRights_ID!$A$2:$B$7,2,FALSE)</f>
        <v>n/a</v>
      </c>
      <c r="K546" s="1" t="str">
        <f>VLOOKUP(AE546,[1]Profile!$A$2:$B$8,2,FALSE)</f>
        <v>Product related service without profile</v>
      </c>
      <c r="M546" s="1" t="str">
        <f>VLOOKUP(Y546,[1]License_Method_ID!$A$2:$B$13,2,FALSE)</f>
        <v>no technical license protection</v>
      </c>
      <c r="N546" s="1" t="s">
        <v>1365</v>
      </c>
      <c r="O546" s="1">
        <v>0</v>
      </c>
      <c r="Q546" s="1" t="str">
        <f>VLOOKUP(AB546,[1]Operational_Profit_Type_ID!$A$2:$B$3,2,FALSE)</f>
        <v>Calculated</v>
      </c>
      <c r="R546" s="1" t="s">
        <v>55</v>
      </c>
      <c r="T546" s="1" t="str">
        <f>VLOOKUP(AD546,[1]UpdateRightID!$A$2:$B$4,2,FALSE)</f>
        <v>none</v>
      </c>
      <c r="U546" s="1" t="s">
        <v>48</v>
      </c>
      <c r="V546" s="1">
        <v>18</v>
      </c>
      <c r="W546" s="1">
        <v>4</v>
      </c>
      <c r="X546" s="1">
        <v>1</v>
      </c>
      <c r="Y546" s="1">
        <v>0</v>
      </c>
      <c r="Z546" s="1">
        <v>1</v>
      </c>
      <c r="AA546" s="1">
        <v>1</v>
      </c>
      <c r="AB546" s="1">
        <v>2</v>
      </c>
      <c r="AC546" s="1">
        <v>5</v>
      </c>
      <c r="AD546" s="1">
        <v>0</v>
      </c>
      <c r="AE546" s="1">
        <v>0</v>
      </c>
    </row>
    <row r="547" spans="1:31" ht="75">
      <c r="A547" s="1" t="s">
        <v>43</v>
      </c>
      <c r="B547" s="1" t="s">
        <v>1457</v>
      </c>
      <c r="C547" t="s">
        <v>1458</v>
      </c>
      <c r="E547" s="1" t="str">
        <f>VLOOKUP(Z547,[1]LicenseDuration_ID!$A$2:$B$8,2,FALSE)</f>
        <v>n/a</v>
      </c>
      <c r="F547" s="1" t="str">
        <f>VLOOKUP(AA547,[1]MaintenanceDuration_ID!$A$2:$B$5,2,FALSE)</f>
        <v>n/a</v>
      </c>
      <c r="G547" s="1" t="str">
        <f>VLOOKUP(V547,[1]ExpectedDeliveryTime_ID!$A$2:$B$12,2,FALSE)</f>
        <v>In mutual alignment with the project</v>
      </c>
      <c r="H547" s="1" t="str">
        <f>VLOOKUP(AC547,[1]PaymentModel_ID!$A$2:$B$7,2,FALSE)</f>
        <v>Monthly based on effort</v>
      </c>
      <c r="I547" s="1" t="str">
        <f>VLOOKUP(W547,[1]ExpectedInvoiceDate_ID!$A$2:$B$12,2,FALSE)</f>
        <v>Monthly based on effort</v>
      </c>
      <c r="J547" s="1" t="str">
        <f>VLOOKUP(X547,[1]GrantOfRights_ID!$A$2:$B$7,2,FALSE)</f>
        <v>n/a</v>
      </c>
      <c r="K547" s="1" t="str">
        <f>VLOOKUP(AE547,[1]Profile!$A$2:$B$8,2,FALSE)</f>
        <v>Product related service without profile</v>
      </c>
      <c r="M547" s="1" t="str">
        <f>VLOOKUP(Y547,[1]License_Method_ID!$A$2:$B$13,2,FALSE)</f>
        <v>no technical license protection</v>
      </c>
      <c r="N547" s="1" t="s">
        <v>1365</v>
      </c>
      <c r="O547" s="1">
        <v>0</v>
      </c>
      <c r="Q547" s="1" t="str">
        <f>VLOOKUP(AB547,[1]Operational_Profit_Type_ID!$A$2:$B$3,2,FALSE)</f>
        <v>Calculated</v>
      </c>
      <c r="R547" s="1" t="s">
        <v>55</v>
      </c>
      <c r="T547" s="1" t="str">
        <f>VLOOKUP(AD547,[1]UpdateRightID!$A$2:$B$4,2,FALSE)</f>
        <v>none</v>
      </c>
      <c r="U547" s="1" t="s">
        <v>48</v>
      </c>
      <c r="V547" s="1">
        <v>18</v>
      </c>
      <c r="W547" s="1">
        <v>4</v>
      </c>
      <c r="X547" s="1">
        <v>1</v>
      </c>
      <c r="Y547" s="1">
        <v>0</v>
      </c>
      <c r="Z547" s="1">
        <v>1</v>
      </c>
      <c r="AA547" s="1">
        <v>1</v>
      </c>
      <c r="AB547" s="1">
        <v>2</v>
      </c>
      <c r="AC547" s="1">
        <v>5</v>
      </c>
      <c r="AD547" s="1">
        <v>0</v>
      </c>
      <c r="AE547" s="1">
        <v>0</v>
      </c>
    </row>
    <row r="548" spans="1:31" ht="409.5">
      <c r="B548" s="10">
        <v>542</v>
      </c>
      <c r="C548" s="10" t="s">
        <v>1459</v>
      </c>
      <c r="D548" s="11" t="s">
        <v>1460</v>
      </c>
      <c r="E548" s="1" t="str">
        <f>VLOOKUP(Z548,[1]LicenseDuration_ID!$A$2:$B$8,2,FALSE)</f>
        <v>n/a</v>
      </c>
      <c r="F548" s="1" t="str">
        <f>VLOOKUP(AA548,[1]MaintenanceDuration_ID!$A$2:$B$5,2,FALSE)</f>
        <v>12 months / yearly automatically renewed</v>
      </c>
      <c r="G548" s="1" t="str">
        <f>VLOOKUP(V548,[1]ExpectedDeliveryTime_ID!$A$2:$B$12,2,FALSE)</f>
        <v>FINALIZED PURCHASE PROCESS + 2 weeks</v>
      </c>
      <c r="H548" s="1" t="str">
        <f>VLOOKUP(AC548,[1]PaymentModel_ID!$A$2:$B$7,2,FALSE)</f>
        <v>Annual subscription</v>
      </c>
      <c r="I548" s="1" t="str">
        <f>VLOOKUP(W548,[1]ExpectedInvoiceDate_ID!$A$2:$B$12,2,FALSE)</f>
        <v>Anually at the beginning of the extended period</v>
      </c>
      <c r="J548" s="1" t="str">
        <f>VLOOKUP(X548,[1]GrantOfRights_ID!$A$2:$B$7,2,FALSE)</f>
        <v>n/a</v>
      </c>
      <c r="K548" s="1" t="str">
        <f>VLOOKUP(AE548,[1]Profile!$A$2:$B$8,2,FALSE)</f>
        <v>Integration Package</v>
      </c>
      <c r="M548" s="1" t="str">
        <f>VLOOKUP(Y548,[1]License_Method_ID!$A$2:$B$13,2,FALSE)</f>
        <v>no technical license protection</v>
      </c>
      <c r="N548" s="10"/>
      <c r="O548" s="10">
        <v>10</v>
      </c>
      <c r="P548" s="10">
        <v>0</v>
      </c>
      <c r="Q548" s="1" t="str">
        <f>VLOOKUP(AB548,[1]Operational_Profit_Type_ID!$A$2:$B$3,2,FALSE)</f>
        <v>Fix rate</v>
      </c>
      <c r="R548" s="10" t="b">
        <v>0</v>
      </c>
      <c r="S548" s="10">
        <v>0</v>
      </c>
      <c r="T548" s="1" t="str">
        <f>VLOOKUP(AD548,[1]UpdateRightID!$A$2:$B$4,2,FALSE)</f>
        <v>UpdateRightByConfiguration</v>
      </c>
      <c r="U548" s="10" t="b">
        <v>1</v>
      </c>
      <c r="V548" s="10">
        <v>2</v>
      </c>
      <c r="W548" s="10">
        <v>2</v>
      </c>
      <c r="X548" s="10">
        <v>1</v>
      </c>
      <c r="Y548" s="10">
        <v>0</v>
      </c>
      <c r="Z548" s="10">
        <v>1</v>
      </c>
      <c r="AA548" s="10">
        <v>4</v>
      </c>
      <c r="AB548" s="10">
        <v>1</v>
      </c>
      <c r="AC548" s="10">
        <v>4</v>
      </c>
      <c r="AD548" s="10">
        <v>1</v>
      </c>
      <c r="AE548" s="10">
        <v>2</v>
      </c>
    </row>
    <row r="549" spans="1:31" ht="255">
      <c r="B549" s="10">
        <v>543</v>
      </c>
      <c r="C549" s="10" t="s">
        <v>1461</v>
      </c>
      <c r="D549" s="11" t="s">
        <v>1462</v>
      </c>
      <c r="E549" s="1" t="str">
        <f>VLOOKUP(Z549,[1]LicenseDuration_ID!$A$2:$B$8,2,FALSE)</f>
        <v>n/a</v>
      </c>
      <c r="F549" s="1" t="str">
        <f>VLOOKUP(AA549,[1]MaintenanceDuration_ID!$A$2:$B$5,2,FALSE)</f>
        <v>12 months / yearly automatically renewed</v>
      </c>
      <c r="G549" s="1" t="e">
        <f>VLOOKUP(V549,[1]ExpectedDeliveryTime_ID!$A$2:$B$12,2,FALSE)</f>
        <v>#N/A</v>
      </c>
      <c r="H549" s="1" t="str">
        <f>VLOOKUP(AC549,[1]PaymentModel_ID!$A$2:$B$7,2,FALSE)</f>
        <v>Annual subscription</v>
      </c>
      <c r="I549" s="1" t="str">
        <f>VLOOKUP(W549,[1]ExpectedInvoiceDate_ID!$A$2:$B$12,2,FALSE)</f>
        <v>Anually at the beginning of the extended period</v>
      </c>
      <c r="J549" s="1" t="str">
        <f>VLOOKUP(X549,[1]GrantOfRights_ID!$A$2:$B$7,2,FALSE)</f>
        <v>n/a</v>
      </c>
      <c r="K549" s="1" t="str">
        <f>VLOOKUP(AE549,[1]Profile!$A$2:$B$8,2,FALSE)</f>
        <v>Integration Package</v>
      </c>
      <c r="M549" s="1" t="str">
        <f>VLOOKUP(Y549,[1]License_Method_ID!$A$2:$B$13,2,FALSE)</f>
        <v>no technical license protection</v>
      </c>
      <c r="N549" s="10"/>
      <c r="O549" s="10">
        <v>10</v>
      </c>
      <c r="P549" s="10">
        <v>0</v>
      </c>
      <c r="Q549" s="1" t="str">
        <f>VLOOKUP(AB549,[1]Operational_Profit_Type_ID!$A$2:$B$3,2,FALSE)</f>
        <v>Fix rate</v>
      </c>
      <c r="R549" s="10" t="b">
        <v>0</v>
      </c>
      <c r="S549" s="10">
        <v>0</v>
      </c>
      <c r="T549" s="1" t="str">
        <f>VLOOKUP(AD549,[1]UpdateRightID!$A$2:$B$4,2,FALSE)</f>
        <v>UpdateRightByConfiguration</v>
      </c>
      <c r="U549" s="10" t="b">
        <v>1</v>
      </c>
      <c r="V549" s="10"/>
      <c r="W549" s="10">
        <v>2</v>
      </c>
      <c r="X549" s="10">
        <v>1</v>
      </c>
      <c r="Y549" s="10">
        <v>0</v>
      </c>
      <c r="Z549" s="10">
        <v>1</v>
      </c>
      <c r="AA549" s="10">
        <v>4</v>
      </c>
      <c r="AB549" s="10">
        <v>1</v>
      </c>
      <c r="AC549" s="10">
        <v>4</v>
      </c>
      <c r="AD549" s="10">
        <v>1</v>
      </c>
      <c r="AE549" s="10">
        <v>2</v>
      </c>
    </row>
    <row r="550" spans="1:31" ht="409.5">
      <c r="B550" s="10">
        <v>544</v>
      </c>
      <c r="C550" s="10" t="s">
        <v>1463</v>
      </c>
      <c r="D550" s="11" t="s">
        <v>1464</v>
      </c>
      <c r="E550" s="1" t="str">
        <f>VLOOKUP(Z550,[1]LicenseDuration_ID!$A$2:$B$8,2,FALSE)</f>
        <v>n/a</v>
      </c>
      <c r="F550" s="1" t="str">
        <f>VLOOKUP(AA550,[1]MaintenanceDuration_ID!$A$2:$B$5,2,FALSE)</f>
        <v>12 months / yearly automatically renewed</v>
      </c>
      <c r="G550" s="1" t="e">
        <f>VLOOKUP(V550,[1]ExpectedDeliveryTime_ID!$A$2:$B$12,2,FALSE)</f>
        <v>#N/A</v>
      </c>
      <c r="H550" s="1" t="str">
        <f>VLOOKUP(AC550,[1]PaymentModel_ID!$A$2:$B$7,2,FALSE)</f>
        <v>Annual subscription</v>
      </c>
      <c r="I550" s="1" t="str">
        <f>VLOOKUP(W550,[1]ExpectedInvoiceDate_ID!$A$2:$B$12,2,FALSE)</f>
        <v>Anually at the beginning of the extended period</v>
      </c>
      <c r="J550" s="1" t="str">
        <f>VLOOKUP(X550,[1]GrantOfRights_ID!$A$2:$B$7,2,FALSE)</f>
        <v>n/a</v>
      </c>
      <c r="K550" s="1" t="str">
        <f>VLOOKUP(AE550,[1]Profile!$A$2:$B$8,2,FALSE)</f>
        <v>Integration Package</v>
      </c>
      <c r="M550" s="1" t="str">
        <f>VLOOKUP(Y550,[1]License_Method_ID!$A$2:$B$13,2,FALSE)</f>
        <v>no technical license protection</v>
      </c>
      <c r="N550" s="10"/>
      <c r="O550" s="10">
        <v>10</v>
      </c>
      <c r="P550" s="10">
        <v>0</v>
      </c>
      <c r="Q550" s="1" t="str">
        <f>VLOOKUP(AB550,[1]Operational_Profit_Type_ID!$A$2:$B$3,2,FALSE)</f>
        <v>Fix rate</v>
      </c>
      <c r="R550" s="10" t="b">
        <v>0</v>
      </c>
      <c r="S550" s="10">
        <v>0</v>
      </c>
      <c r="T550" s="1" t="str">
        <f>VLOOKUP(AD550,[1]UpdateRightID!$A$2:$B$4,2,FALSE)</f>
        <v>UpdateRightByConfiguration</v>
      </c>
      <c r="U550" s="10" t="b">
        <v>1</v>
      </c>
      <c r="V550" s="10"/>
      <c r="W550" s="10">
        <v>2</v>
      </c>
      <c r="X550" s="10">
        <v>1</v>
      </c>
      <c r="Y550" s="10">
        <v>0</v>
      </c>
      <c r="Z550" s="10">
        <v>1</v>
      </c>
      <c r="AA550" s="10">
        <v>4</v>
      </c>
      <c r="AB550" s="10">
        <v>1</v>
      </c>
      <c r="AC550" s="10">
        <v>4</v>
      </c>
      <c r="AD550" s="10">
        <v>1</v>
      </c>
      <c r="AE550" s="10">
        <v>2</v>
      </c>
    </row>
    <row r="551" spans="1:31" ht="409.5">
      <c r="B551" s="10">
        <v>545</v>
      </c>
      <c r="C551" s="10" t="s">
        <v>1465</v>
      </c>
      <c r="D551" s="11" t="s">
        <v>1466</v>
      </c>
      <c r="E551" s="1" t="str">
        <f>VLOOKUP(Z551,[1]LicenseDuration_ID!$A$2:$B$8,2,FALSE)</f>
        <v>n/a</v>
      </c>
      <c r="F551" s="1" t="str">
        <f>VLOOKUP(AA551,[1]MaintenanceDuration_ID!$A$2:$B$5,2,FALSE)</f>
        <v>12 months / yearly automatically renewed</v>
      </c>
      <c r="G551" s="1" t="e">
        <f>VLOOKUP(V551,[1]ExpectedDeliveryTime_ID!$A$2:$B$12,2,FALSE)</f>
        <v>#N/A</v>
      </c>
      <c r="H551" s="1" t="str">
        <f>VLOOKUP(AC551,[1]PaymentModel_ID!$A$2:$B$7,2,FALSE)</f>
        <v>Annual subscription</v>
      </c>
      <c r="I551" s="1" t="str">
        <f>VLOOKUP(W551,[1]ExpectedInvoiceDate_ID!$A$2:$B$12,2,FALSE)</f>
        <v>Anually at the beginning of the extended period</v>
      </c>
      <c r="J551" s="1" t="str">
        <f>VLOOKUP(X551,[1]GrantOfRights_ID!$A$2:$B$7,2,FALSE)</f>
        <v>n/a</v>
      </c>
      <c r="K551" s="1" t="str">
        <f>VLOOKUP(AE551,[1]Profile!$A$2:$B$8,2,FALSE)</f>
        <v>Integration Package</v>
      </c>
      <c r="M551" s="1" t="str">
        <f>VLOOKUP(Y551,[1]License_Method_ID!$A$2:$B$13,2,FALSE)</f>
        <v>no technical license protection</v>
      </c>
      <c r="N551" s="10"/>
      <c r="O551" s="10">
        <v>10</v>
      </c>
      <c r="P551" s="10">
        <v>0</v>
      </c>
      <c r="Q551" s="1" t="str">
        <f>VLOOKUP(AB551,[1]Operational_Profit_Type_ID!$A$2:$B$3,2,FALSE)</f>
        <v>Fix rate</v>
      </c>
      <c r="R551" s="10" t="b">
        <v>0</v>
      </c>
      <c r="S551" s="10">
        <v>0</v>
      </c>
      <c r="T551" s="1" t="str">
        <f>VLOOKUP(AD551,[1]UpdateRightID!$A$2:$B$4,2,FALSE)</f>
        <v>UpdateRightByConfiguration</v>
      </c>
      <c r="U551" s="10" t="b">
        <v>1</v>
      </c>
      <c r="V551" s="10"/>
      <c r="W551" s="10">
        <v>2</v>
      </c>
      <c r="X551" s="10">
        <v>1</v>
      </c>
      <c r="Y551" s="10">
        <v>0</v>
      </c>
      <c r="Z551" s="10">
        <v>1</v>
      </c>
      <c r="AA551" s="10">
        <v>4</v>
      </c>
      <c r="AB551" s="10">
        <v>1</v>
      </c>
      <c r="AC551" s="10">
        <v>4</v>
      </c>
      <c r="AD551" s="10">
        <v>1</v>
      </c>
      <c r="AE551" s="10">
        <v>2</v>
      </c>
    </row>
    <row r="552" spans="1:31" ht="409.5">
      <c r="B552" s="10">
        <v>546</v>
      </c>
      <c r="C552" s="10" t="s">
        <v>1467</v>
      </c>
      <c r="D552" s="11" t="s">
        <v>1464</v>
      </c>
      <c r="E552" s="1" t="str">
        <f>VLOOKUP(Z552,[1]LicenseDuration_ID!$A$2:$B$8,2,FALSE)</f>
        <v>n/a</v>
      </c>
      <c r="F552" s="1" t="str">
        <f>VLOOKUP(AA552,[1]MaintenanceDuration_ID!$A$2:$B$5,2,FALSE)</f>
        <v>12 months / yearly automatically renewed</v>
      </c>
      <c r="G552" s="1" t="e">
        <f>VLOOKUP(V552,[1]ExpectedDeliveryTime_ID!$A$2:$B$12,2,FALSE)</f>
        <v>#N/A</v>
      </c>
      <c r="H552" s="1" t="str">
        <f>VLOOKUP(AC552,[1]PaymentModel_ID!$A$2:$B$7,2,FALSE)</f>
        <v>Annual subscription</v>
      </c>
      <c r="I552" s="1" t="str">
        <f>VLOOKUP(W552,[1]ExpectedInvoiceDate_ID!$A$2:$B$12,2,FALSE)</f>
        <v>Anually at the beginning of the extended period</v>
      </c>
      <c r="J552" s="1" t="str">
        <f>VLOOKUP(X552,[1]GrantOfRights_ID!$A$2:$B$7,2,FALSE)</f>
        <v>n/a</v>
      </c>
      <c r="K552" s="1" t="str">
        <f>VLOOKUP(AE552,[1]Profile!$A$2:$B$8,2,FALSE)</f>
        <v>Integration Package</v>
      </c>
      <c r="M552" s="1" t="str">
        <f>VLOOKUP(Y552,[1]License_Method_ID!$A$2:$B$13,2,FALSE)</f>
        <v>no technical license protection</v>
      </c>
      <c r="N552" s="10"/>
      <c r="O552" s="10">
        <v>10</v>
      </c>
      <c r="P552" s="10">
        <v>0</v>
      </c>
      <c r="Q552" s="1" t="str">
        <f>VLOOKUP(AB552,[1]Operational_Profit_Type_ID!$A$2:$B$3,2,FALSE)</f>
        <v>Fix rate</v>
      </c>
      <c r="R552" s="10" t="b">
        <v>0</v>
      </c>
      <c r="S552" s="10">
        <v>0</v>
      </c>
      <c r="T552" s="1" t="str">
        <f>VLOOKUP(AD552,[1]UpdateRightID!$A$2:$B$4,2,FALSE)</f>
        <v>UpdateRightByConfiguration</v>
      </c>
      <c r="U552" s="10" t="b">
        <v>1</v>
      </c>
      <c r="V552" s="10"/>
      <c r="W552" s="10">
        <v>2</v>
      </c>
      <c r="X552" s="10">
        <v>1</v>
      </c>
      <c r="Y552" s="10">
        <v>0</v>
      </c>
      <c r="Z552" s="10">
        <v>1</v>
      </c>
      <c r="AA552" s="10">
        <v>4</v>
      </c>
      <c r="AB552" s="10">
        <v>1</v>
      </c>
      <c r="AC552" s="10">
        <v>4</v>
      </c>
      <c r="AD552" s="10">
        <v>1</v>
      </c>
      <c r="AE552" s="10">
        <v>2</v>
      </c>
    </row>
    <row r="553" spans="1:31" ht="409.5">
      <c r="B553" s="10">
        <v>547</v>
      </c>
      <c r="C553" s="10" t="s">
        <v>1468</v>
      </c>
      <c r="D553" s="11" t="s">
        <v>1464</v>
      </c>
      <c r="E553" s="1" t="str">
        <f>VLOOKUP(Z553,[1]LicenseDuration_ID!$A$2:$B$8,2,FALSE)</f>
        <v>n/a</v>
      </c>
      <c r="F553" s="1" t="str">
        <f>VLOOKUP(AA553,[1]MaintenanceDuration_ID!$A$2:$B$5,2,FALSE)</f>
        <v>12 months / yearly automatically renewed</v>
      </c>
      <c r="G553" s="1" t="e">
        <f>VLOOKUP(V553,[1]ExpectedDeliveryTime_ID!$A$2:$B$12,2,FALSE)</f>
        <v>#N/A</v>
      </c>
      <c r="H553" s="1" t="str">
        <f>VLOOKUP(AC553,[1]PaymentModel_ID!$A$2:$B$7,2,FALSE)</f>
        <v>Annual subscription</v>
      </c>
      <c r="I553" s="1" t="str">
        <f>VLOOKUP(W553,[1]ExpectedInvoiceDate_ID!$A$2:$B$12,2,FALSE)</f>
        <v>Anually at the beginning of the extended period</v>
      </c>
      <c r="J553" s="1" t="str">
        <f>VLOOKUP(X553,[1]GrantOfRights_ID!$A$2:$B$7,2,FALSE)</f>
        <v>n/a</v>
      </c>
      <c r="K553" s="1" t="str">
        <f>VLOOKUP(AE553,[1]Profile!$A$2:$B$8,2,FALSE)</f>
        <v>Integration Package</v>
      </c>
      <c r="M553" s="1" t="str">
        <f>VLOOKUP(Y553,[1]License_Method_ID!$A$2:$B$13,2,FALSE)</f>
        <v>no technical license protection</v>
      </c>
      <c r="N553" s="10"/>
      <c r="O553" s="10">
        <v>10</v>
      </c>
      <c r="P553" s="10">
        <v>0</v>
      </c>
      <c r="Q553" s="1" t="str">
        <f>VLOOKUP(AB553,[1]Operational_Profit_Type_ID!$A$2:$B$3,2,FALSE)</f>
        <v>Fix rate</v>
      </c>
      <c r="R553" s="10" t="b">
        <v>0</v>
      </c>
      <c r="S553" s="10">
        <v>0</v>
      </c>
      <c r="T553" s="1" t="str">
        <f>VLOOKUP(AD553,[1]UpdateRightID!$A$2:$B$4,2,FALSE)</f>
        <v>UpdateRightByConfiguration</v>
      </c>
      <c r="U553" s="10" t="b">
        <v>1</v>
      </c>
      <c r="V553" s="10"/>
      <c r="W553" s="10">
        <v>2</v>
      </c>
      <c r="X553" s="10">
        <v>1</v>
      </c>
      <c r="Y553" s="10">
        <v>0</v>
      </c>
      <c r="Z553" s="10">
        <v>1</v>
      </c>
      <c r="AA553" s="10">
        <v>4</v>
      </c>
      <c r="AB553" s="10">
        <v>1</v>
      </c>
      <c r="AC553" s="10">
        <v>4</v>
      </c>
      <c r="AD553" s="10">
        <v>1</v>
      </c>
      <c r="AE553" s="10">
        <v>2</v>
      </c>
    </row>
    <row r="554" spans="1:31" ht="409.5">
      <c r="B554" s="10">
        <v>548</v>
      </c>
      <c r="C554" s="10" t="s">
        <v>1469</v>
      </c>
      <c r="D554" s="11" t="s">
        <v>1464</v>
      </c>
      <c r="E554" s="1" t="str">
        <f>VLOOKUP(Z554,[1]LicenseDuration_ID!$A$2:$B$8,2,FALSE)</f>
        <v>n/a</v>
      </c>
      <c r="F554" s="1" t="str">
        <f>VLOOKUP(AA554,[1]MaintenanceDuration_ID!$A$2:$B$5,2,FALSE)</f>
        <v>12 months / yearly automatically renewed</v>
      </c>
      <c r="G554" s="1" t="e">
        <f>VLOOKUP(V554,[1]ExpectedDeliveryTime_ID!$A$2:$B$12,2,FALSE)</f>
        <v>#N/A</v>
      </c>
      <c r="H554" s="1" t="str">
        <f>VLOOKUP(AC554,[1]PaymentModel_ID!$A$2:$B$7,2,FALSE)</f>
        <v>Annual subscription</v>
      </c>
      <c r="I554" s="1" t="str">
        <f>VLOOKUP(W554,[1]ExpectedInvoiceDate_ID!$A$2:$B$12,2,FALSE)</f>
        <v>Anually at the beginning of the extended period</v>
      </c>
      <c r="J554" s="1" t="str">
        <f>VLOOKUP(X554,[1]GrantOfRights_ID!$A$2:$B$7,2,FALSE)</f>
        <v>n/a</v>
      </c>
      <c r="K554" s="1" t="str">
        <f>VLOOKUP(AE554,[1]Profile!$A$2:$B$8,2,FALSE)</f>
        <v>Integration Package</v>
      </c>
      <c r="M554" s="1" t="str">
        <f>VLOOKUP(Y554,[1]License_Method_ID!$A$2:$B$13,2,FALSE)</f>
        <v>no technical license protection</v>
      </c>
      <c r="N554" s="10"/>
      <c r="O554" s="10">
        <v>10</v>
      </c>
      <c r="P554" s="10">
        <v>0</v>
      </c>
      <c r="Q554" s="1" t="str">
        <f>VLOOKUP(AB554,[1]Operational_Profit_Type_ID!$A$2:$B$3,2,FALSE)</f>
        <v>Fix rate</v>
      </c>
      <c r="R554" s="10" t="b">
        <v>0</v>
      </c>
      <c r="S554" s="10">
        <v>0</v>
      </c>
      <c r="T554" s="1" t="str">
        <f>VLOOKUP(AD554,[1]UpdateRightID!$A$2:$B$4,2,FALSE)</f>
        <v>UpdateRightByConfiguration</v>
      </c>
      <c r="U554" s="10" t="b">
        <v>1</v>
      </c>
      <c r="V554" s="10"/>
      <c r="W554" s="10">
        <v>2</v>
      </c>
      <c r="X554" s="10">
        <v>1</v>
      </c>
      <c r="Y554" s="10">
        <v>0</v>
      </c>
      <c r="Z554" s="10">
        <v>1</v>
      </c>
      <c r="AA554" s="10">
        <v>4</v>
      </c>
      <c r="AB554" s="10">
        <v>1</v>
      </c>
      <c r="AC554" s="10">
        <v>4</v>
      </c>
      <c r="AD554" s="10">
        <v>1</v>
      </c>
      <c r="AE554" s="10">
        <v>2</v>
      </c>
    </row>
    <row r="555" spans="1:31" ht="409.5">
      <c r="B555" s="10">
        <v>549</v>
      </c>
      <c r="C555" s="10" t="s">
        <v>1470</v>
      </c>
      <c r="D555" s="11" t="s">
        <v>1464</v>
      </c>
      <c r="E555" s="1" t="str">
        <f>VLOOKUP(Z555,[1]LicenseDuration_ID!$A$2:$B$8,2,FALSE)</f>
        <v>n/a</v>
      </c>
      <c r="F555" s="1" t="str">
        <f>VLOOKUP(AA555,[1]MaintenanceDuration_ID!$A$2:$B$5,2,FALSE)</f>
        <v>12 months / yearly automatically renewed</v>
      </c>
      <c r="G555" s="1" t="e">
        <f>VLOOKUP(V555,[1]ExpectedDeliveryTime_ID!$A$2:$B$12,2,FALSE)</f>
        <v>#N/A</v>
      </c>
      <c r="H555" s="1" t="str">
        <f>VLOOKUP(AC555,[1]PaymentModel_ID!$A$2:$B$7,2,FALSE)</f>
        <v>Annual subscription</v>
      </c>
      <c r="I555" s="1" t="str">
        <f>VLOOKUP(W555,[1]ExpectedInvoiceDate_ID!$A$2:$B$12,2,FALSE)</f>
        <v>Anually at the beginning of the extended period</v>
      </c>
      <c r="J555" s="1" t="str">
        <f>VLOOKUP(X555,[1]GrantOfRights_ID!$A$2:$B$7,2,FALSE)</f>
        <v>n/a</v>
      </c>
      <c r="K555" s="1" t="str">
        <f>VLOOKUP(AE555,[1]Profile!$A$2:$B$8,2,FALSE)</f>
        <v>Integration Package</v>
      </c>
      <c r="M555" s="1" t="str">
        <f>VLOOKUP(Y555,[1]License_Method_ID!$A$2:$B$13,2,FALSE)</f>
        <v>no technical license protection</v>
      </c>
      <c r="N555" s="10"/>
      <c r="O555" s="10">
        <v>10</v>
      </c>
      <c r="P555" s="10">
        <v>0</v>
      </c>
      <c r="Q555" s="1" t="str">
        <f>VLOOKUP(AB555,[1]Operational_Profit_Type_ID!$A$2:$B$3,2,FALSE)</f>
        <v>Fix rate</v>
      </c>
      <c r="R555" s="10" t="b">
        <v>0</v>
      </c>
      <c r="S555" s="10">
        <v>0</v>
      </c>
      <c r="T555" s="1" t="str">
        <f>VLOOKUP(AD555,[1]UpdateRightID!$A$2:$B$4,2,FALSE)</f>
        <v>UpdateRightByConfiguration</v>
      </c>
      <c r="U555" s="10" t="b">
        <v>1</v>
      </c>
      <c r="V555" s="10"/>
      <c r="W555" s="10">
        <v>2</v>
      </c>
      <c r="X555" s="10">
        <v>1</v>
      </c>
      <c r="Y555" s="10">
        <v>0</v>
      </c>
      <c r="Z555" s="10">
        <v>1</v>
      </c>
      <c r="AA555" s="10">
        <v>4</v>
      </c>
      <c r="AB555" s="10">
        <v>1</v>
      </c>
      <c r="AC555" s="10">
        <v>4</v>
      </c>
      <c r="AD555" s="10">
        <v>1</v>
      </c>
      <c r="AE555" s="10">
        <v>2</v>
      </c>
    </row>
    <row r="556" spans="1:31" ht="409.5">
      <c r="B556" s="10">
        <v>550</v>
      </c>
      <c r="C556" s="10" t="s">
        <v>1471</v>
      </c>
      <c r="D556" s="11" t="s">
        <v>1460</v>
      </c>
      <c r="E556" s="1" t="str">
        <f>VLOOKUP(Z556,[1]LicenseDuration_ID!$A$2:$B$8,2,FALSE)</f>
        <v>n/a</v>
      </c>
      <c r="F556" s="1" t="str">
        <f>VLOOKUP(AA556,[1]MaintenanceDuration_ID!$A$2:$B$5,2,FALSE)</f>
        <v>12 months / yearly automatically renewed</v>
      </c>
      <c r="G556" s="1" t="e">
        <f>VLOOKUP(V556,[1]ExpectedDeliveryTime_ID!$A$2:$B$12,2,FALSE)</f>
        <v>#N/A</v>
      </c>
      <c r="H556" s="1" t="str">
        <f>VLOOKUP(AC556,[1]PaymentModel_ID!$A$2:$B$7,2,FALSE)</f>
        <v>Annual subscription</v>
      </c>
      <c r="I556" s="1" t="str">
        <f>VLOOKUP(W556,[1]ExpectedInvoiceDate_ID!$A$2:$B$12,2,FALSE)</f>
        <v>Anually at the beginning of the extended period</v>
      </c>
      <c r="J556" s="1" t="str">
        <f>VLOOKUP(X556,[1]GrantOfRights_ID!$A$2:$B$7,2,FALSE)</f>
        <v>n/a</v>
      </c>
      <c r="K556" s="1" t="str">
        <f>VLOOKUP(AE556,[1]Profile!$A$2:$B$8,2,FALSE)</f>
        <v>Integration Package</v>
      </c>
      <c r="M556" s="1" t="str">
        <f>VLOOKUP(Y556,[1]License_Method_ID!$A$2:$B$13,2,FALSE)</f>
        <v>no technical license protection</v>
      </c>
      <c r="N556" s="10"/>
      <c r="O556" s="10">
        <v>10</v>
      </c>
      <c r="P556" s="10">
        <v>0</v>
      </c>
      <c r="Q556" s="1" t="str">
        <f>VLOOKUP(AB556,[1]Operational_Profit_Type_ID!$A$2:$B$3,2,FALSE)</f>
        <v>Fix rate</v>
      </c>
      <c r="R556" s="10" t="b">
        <v>0</v>
      </c>
      <c r="S556" s="10">
        <v>0</v>
      </c>
      <c r="T556" s="1" t="str">
        <f>VLOOKUP(AD556,[1]UpdateRightID!$A$2:$B$4,2,FALSE)</f>
        <v>UpdateRightByConfiguration</v>
      </c>
      <c r="U556" s="10" t="b">
        <v>1</v>
      </c>
      <c r="V556" s="10"/>
      <c r="W556" s="10">
        <v>2</v>
      </c>
      <c r="X556" s="10">
        <v>1</v>
      </c>
      <c r="Y556" s="10">
        <v>0</v>
      </c>
      <c r="Z556" s="10">
        <v>1</v>
      </c>
      <c r="AA556" s="10">
        <v>4</v>
      </c>
      <c r="AB556" s="10">
        <v>1</v>
      </c>
      <c r="AC556" s="10">
        <v>4</v>
      </c>
      <c r="AD556" s="10">
        <v>1</v>
      </c>
      <c r="AE556" s="10">
        <v>2</v>
      </c>
    </row>
    <row r="557" spans="1:31" ht="409.5">
      <c r="B557" s="10">
        <v>551</v>
      </c>
      <c r="C557" s="10" t="s">
        <v>1472</v>
      </c>
      <c r="D557" s="11" t="s">
        <v>1460</v>
      </c>
      <c r="E557" s="1" t="str">
        <f>VLOOKUP(Z557,[1]LicenseDuration_ID!$A$2:$B$8,2,FALSE)</f>
        <v>n/a</v>
      </c>
      <c r="F557" s="1" t="str">
        <f>VLOOKUP(AA557,[1]MaintenanceDuration_ID!$A$2:$B$5,2,FALSE)</f>
        <v>12 months / yearly automatically renewed</v>
      </c>
      <c r="G557" s="1" t="e">
        <f>VLOOKUP(V557,[1]ExpectedDeliveryTime_ID!$A$2:$B$12,2,FALSE)</f>
        <v>#N/A</v>
      </c>
      <c r="H557" s="1" t="str">
        <f>VLOOKUP(AC557,[1]PaymentModel_ID!$A$2:$B$7,2,FALSE)</f>
        <v>Annual subscription</v>
      </c>
      <c r="I557" s="1" t="str">
        <f>VLOOKUP(W557,[1]ExpectedInvoiceDate_ID!$A$2:$B$12,2,FALSE)</f>
        <v>Anually at the beginning of the extended period</v>
      </c>
      <c r="J557" s="1" t="str">
        <f>VLOOKUP(X557,[1]GrantOfRights_ID!$A$2:$B$7,2,FALSE)</f>
        <v>n/a</v>
      </c>
      <c r="K557" s="1" t="str">
        <f>VLOOKUP(AE557,[1]Profile!$A$2:$B$8,2,FALSE)</f>
        <v>Integration Package</v>
      </c>
      <c r="M557" s="1" t="str">
        <f>VLOOKUP(Y557,[1]License_Method_ID!$A$2:$B$13,2,FALSE)</f>
        <v>no technical license protection</v>
      </c>
      <c r="N557" s="10"/>
      <c r="O557" s="10">
        <v>10</v>
      </c>
      <c r="P557" s="10">
        <v>0</v>
      </c>
      <c r="Q557" s="1" t="str">
        <f>VLOOKUP(AB557,[1]Operational_Profit_Type_ID!$A$2:$B$3,2,FALSE)</f>
        <v>Fix rate</v>
      </c>
      <c r="R557" s="10" t="b">
        <v>0</v>
      </c>
      <c r="S557" s="10">
        <v>0</v>
      </c>
      <c r="T557" s="1" t="str">
        <f>VLOOKUP(AD557,[1]UpdateRightID!$A$2:$B$4,2,FALSE)</f>
        <v>UpdateRightByConfiguration</v>
      </c>
      <c r="U557" s="10" t="b">
        <v>1</v>
      </c>
      <c r="V557" s="10"/>
      <c r="W557" s="10">
        <v>2</v>
      </c>
      <c r="X557" s="10">
        <v>1</v>
      </c>
      <c r="Y557" s="10">
        <v>0</v>
      </c>
      <c r="Z557" s="10">
        <v>1</v>
      </c>
      <c r="AA557" s="10">
        <v>4</v>
      </c>
      <c r="AB557" s="10">
        <v>1</v>
      </c>
      <c r="AC557" s="10">
        <v>4</v>
      </c>
      <c r="AD557" s="10">
        <v>1</v>
      </c>
      <c r="AE557" s="10">
        <v>2</v>
      </c>
    </row>
    <row r="558" spans="1:31" ht="409.5">
      <c r="B558" s="10">
        <v>552</v>
      </c>
      <c r="C558" s="10" t="s">
        <v>1473</v>
      </c>
      <c r="D558" s="11" t="s">
        <v>1460</v>
      </c>
      <c r="E558" s="1" t="str">
        <f>VLOOKUP(Z558,[1]LicenseDuration_ID!$A$2:$B$8,2,FALSE)</f>
        <v>n/a</v>
      </c>
      <c r="F558" s="1" t="str">
        <f>VLOOKUP(AA558,[1]MaintenanceDuration_ID!$A$2:$B$5,2,FALSE)</f>
        <v>12 months / yearly automatically renewed</v>
      </c>
      <c r="G558" s="1" t="e">
        <f>VLOOKUP(V558,[1]ExpectedDeliveryTime_ID!$A$2:$B$12,2,FALSE)</f>
        <v>#N/A</v>
      </c>
      <c r="H558" s="1" t="str">
        <f>VLOOKUP(AC558,[1]PaymentModel_ID!$A$2:$B$7,2,FALSE)</f>
        <v>Annual subscription</v>
      </c>
      <c r="I558" s="1" t="str">
        <f>VLOOKUP(W558,[1]ExpectedInvoiceDate_ID!$A$2:$B$12,2,FALSE)</f>
        <v>Anually at the beginning of the extended period</v>
      </c>
      <c r="J558" s="1" t="str">
        <f>VLOOKUP(X558,[1]GrantOfRights_ID!$A$2:$B$7,2,FALSE)</f>
        <v>n/a</v>
      </c>
      <c r="K558" s="1" t="str">
        <f>VLOOKUP(AE558,[1]Profile!$A$2:$B$8,2,FALSE)</f>
        <v>Integration Package</v>
      </c>
      <c r="M558" s="1" t="str">
        <f>VLOOKUP(Y558,[1]License_Method_ID!$A$2:$B$13,2,FALSE)</f>
        <v>no technical license protection</v>
      </c>
      <c r="N558" s="10"/>
      <c r="O558" s="10">
        <v>10</v>
      </c>
      <c r="P558" s="10">
        <v>0</v>
      </c>
      <c r="Q558" s="1" t="str">
        <f>VLOOKUP(AB558,[1]Operational_Profit_Type_ID!$A$2:$B$3,2,FALSE)</f>
        <v>Fix rate</v>
      </c>
      <c r="R558" s="10" t="b">
        <v>0</v>
      </c>
      <c r="S558" s="10">
        <v>0</v>
      </c>
      <c r="T558" s="1" t="str">
        <f>VLOOKUP(AD558,[1]UpdateRightID!$A$2:$B$4,2,FALSE)</f>
        <v>UpdateRightByConfiguration</v>
      </c>
      <c r="U558" s="10" t="b">
        <v>1</v>
      </c>
      <c r="V558" s="10"/>
      <c r="W558" s="10">
        <v>2</v>
      </c>
      <c r="X558" s="10">
        <v>1</v>
      </c>
      <c r="Y558" s="10">
        <v>0</v>
      </c>
      <c r="Z558" s="10">
        <v>1</v>
      </c>
      <c r="AA558" s="10">
        <v>4</v>
      </c>
      <c r="AB558" s="10">
        <v>1</v>
      </c>
      <c r="AC558" s="10">
        <v>4</v>
      </c>
      <c r="AD558" s="10">
        <v>1</v>
      </c>
      <c r="AE558" s="10">
        <v>2</v>
      </c>
    </row>
    <row r="559" spans="1:31" ht="409.5">
      <c r="B559" s="10">
        <v>553</v>
      </c>
      <c r="C559" s="10" t="s">
        <v>1474</v>
      </c>
      <c r="D559" s="11" t="s">
        <v>1460</v>
      </c>
      <c r="E559" s="1" t="str">
        <f>VLOOKUP(Z559,[1]LicenseDuration_ID!$A$2:$B$8,2,FALSE)</f>
        <v>n/a</v>
      </c>
      <c r="F559" s="1" t="str">
        <f>VLOOKUP(AA559,[1]MaintenanceDuration_ID!$A$2:$B$5,2,FALSE)</f>
        <v>12 months / yearly automatically renewed</v>
      </c>
      <c r="G559" s="1" t="e">
        <f>VLOOKUP(V559,[1]ExpectedDeliveryTime_ID!$A$2:$B$12,2,FALSE)</f>
        <v>#N/A</v>
      </c>
      <c r="H559" s="1" t="str">
        <f>VLOOKUP(AC559,[1]PaymentModel_ID!$A$2:$B$7,2,FALSE)</f>
        <v>Annual subscription</v>
      </c>
      <c r="I559" s="1" t="str">
        <f>VLOOKUP(W559,[1]ExpectedInvoiceDate_ID!$A$2:$B$12,2,FALSE)</f>
        <v>Anually at the beginning of the extended period</v>
      </c>
      <c r="J559" s="1" t="str">
        <f>VLOOKUP(X559,[1]GrantOfRights_ID!$A$2:$B$7,2,FALSE)</f>
        <v>n/a</v>
      </c>
      <c r="K559" s="1" t="str">
        <f>VLOOKUP(AE559,[1]Profile!$A$2:$B$8,2,FALSE)</f>
        <v>Integration Package</v>
      </c>
      <c r="M559" s="1" t="str">
        <f>VLOOKUP(Y559,[1]License_Method_ID!$A$2:$B$13,2,FALSE)</f>
        <v>no technical license protection</v>
      </c>
      <c r="N559" s="10"/>
      <c r="O559" s="10">
        <v>10</v>
      </c>
      <c r="P559" s="10">
        <v>0</v>
      </c>
      <c r="Q559" s="1" t="str">
        <f>VLOOKUP(AB559,[1]Operational_Profit_Type_ID!$A$2:$B$3,2,FALSE)</f>
        <v>Fix rate</v>
      </c>
      <c r="R559" s="10" t="b">
        <v>0</v>
      </c>
      <c r="S559" s="10">
        <v>0</v>
      </c>
      <c r="T559" s="1" t="str">
        <f>VLOOKUP(AD559,[1]UpdateRightID!$A$2:$B$4,2,FALSE)</f>
        <v>UpdateRightByConfiguration</v>
      </c>
      <c r="U559" s="10" t="b">
        <v>1</v>
      </c>
      <c r="V559" s="10"/>
      <c r="W559" s="10">
        <v>2</v>
      </c>
      <c r="X559" s="10">
        <v>1</v>
      </c>
      <c r="Y559" s="10">
        <v>0</v>
      </c>
      <c r="Z559" s="10">
        <v>1</v>
      </c>
      <c r="AA559" s="10">
        <v>4</v>
      </c>
      <c r="AB559" s="10">
        <v>1</v>
      </c>
      <c r="AC559" s="10">
        <v>4</v>
      </c>
      <c r="AD559" s="10">
        <v>1</v>
      </c>
      <c r="AE559" s="10">
        <v>2</v>
      </c>
    </row>
    <row r="560" spans="1:31" ht="409.5">
      <c r="B560" s="10">
        <v>554</v>
      </c>
      <c r="C560" s="10" t="s">
        <v>1475</v>
      </c>
      <c r="D560" s="11" t="s">
        <v>1460</v>
      </c>
      <c r="E560" s="1" t="str">
        <f>VLOOKUP(Z560,[1]LicenseDuration_ID!$A$2:$B$8,2,FALSE)</f>
        <v>n/a</v>
      </c>
      <c r="F560" s="1" t="str">
        <f>VLOOKUP(AA560,[1]MaintenanceDuration_ID!$A$2:$B$5,2,FALSE)</f>
        <v>12 months / yearly automatically renewed</v>
      </c>
      <c r="G560" s="1" t="e">
        <f>VLOOKUP(V560,[1]ExpectedDeliveryTime_ID!$A$2:$B$12,2,FALSE)</f>
        <v>#N/A</v>
      </c>
      <c r="H560" s="1" t="str">
        <f>VLOOKUP(AC560,[1]PaymentModel_ID!$A$2:$B$7,2,FALSE)</f>
        <v>Annual subscription</v>
      </c>
      <c r="I560" s="1" t="str">
        <f>VLOOKUP(W560,[1]ExpectedInvoiceDate_ID!$A$2:$B$12,2,FALSE)</f>
        <v>Anually at the beginning of the extended period</v>
      </c>
      <c r="J560" s="1" t="str">
        <f>VLOOKUP(X560,[1]GrantOfRights_ID!$A$2:$B$7,2,FALSE)</f>
        <v>n/a</v>
      </c>
      <c r="K560" s="1" t="str">
        <f>VLOOKUP(AE560,[1]Profile!$A$2:$B$8,2,FALSE)</f>
        <v>Integration Package</v>
      </c>
      <c r="M560" s="1" t="str">
        <f>VLOOKUP(Y560,[1]License_Method_ID!$A$2:$B$13,2,FALSE)</f>
        <v>no technical license protection</v>
      </c>
      <c r="N560" s="10"/>
      <c r="O560" s="10">
        <v>10</v>
      </c>
      <c r="P560" s="10">
        <v>0</v>
      </c>
      <c r="Q560" s="1" t="str">
        <f>VLOOKUP(AB560,[1]Operational_Profit_Type_ID!$A$2:$B$3,2,FALSE)</f>
        <v>Fix rate</v>
      </c>
      <c r="R560" s="10" t="b">
        <v>0</v>
      </c>
      <c r="S560" s="10">
        <v>0</v>
      </c>
      <c r="T560" s="1" t="str">
        <f>VLOOKUP(AD560,[1]UpdateRightID!$A$2:$B$4,2,FALSE)</f>
        <v>UpdateRightByConfiguration</v>
      </c>
      <c r="U560" s="10" t="b">
        <v>1</v>
      </c>
      <c r="V560" s="10"/>
      <c r="W560" s="10">
        <v>2</v>
      </c>
      <c r="X560" s="10">
        <v>1</v>
      </c>
      <c r="Y560" s="10">
        <v>0</v>
      </c>
      <c r="Z560" s="10">
        <v>1</v>
      </c>
      <c r="AA560" s="10">
        <v>4</v>
      </c>
      <c r="AB560" s="10">
        <v>1</v>
      </c>
      <c r="AC560" s="10">
        <v>4</v>
      </c>
      <c r="AD560" s="10">
        <v>1</v>
      </c>
      <c r="AE560" s="10">
        <v>2</v>
      </c>
    </row>
    <row r="561" spans="2:31" ht="409.5">
      <c r="B561" s="10">
        <v>555</v>
      </c>
      <c r="C561" s="10" t="s">
        <v>1476</v>
      </c>
      <c r="D561" s="11" t="s">
        <v>1460</v>
      </c>
      <c r="E561" s="1" t="str">
        <f>VLOOKUP(Z561,[1]LicenseDuration_ID!$A$2:$B$8,2,FALSE)</f>
        <v>n/a</v>
      </c>
      <c r="F561" s="1" t="str">
        <f>VLOOKUP(AA561,[1]MaintenanceDuration_ID!$A$2:$B$5,2,FALSE)</f>
        <v>12 months / yearly automatically renewed</v>
      </c>
      <c r="G561" s="1" t="e">
        <f>VLOOKUP(V561,[1]ExpectedDeliveryTime_ID!$A$2:$B$12,2,FALSE)</f>
        <v>#N/A</v>
      </c>
      <c r="H561" s="1" t="str">
        <f>VLOOKUP(AC561,[1]PaymentModel_ID!$A$2:$B$7,2,FALSE)</f>
        <v>Annual subscription</v>
      </c>
      <c r="I561" s="1" t="str">
        <f>VLOOKUP(W561,[1]ExpectedInvoiceDate_ID!$A$2:$B$12,2,FALSE)</f>
        <v>Anually at the beginning of the extended period</v>
      </c>
      <c r="J561" s="1" t="str">
        <f>VLOOKUP(X561,[1]GrantOfRights_ID!$A$2:$B$7,2,FALSE)</f>
        <v>n/a</v>
      </c>
      <c r="K561" s="1" t="str">
        <f>VLOOKUP(AE561,[1]Profile!$A$2:$B$8,2,FALSE)</f>
        <v>Integration Package</v>
      </c>
      <c r="M561" s="1" t="str">
        <f>VLOOKUP(Y561,[1]License_Method_ID!$A$2:$B$13,2,FALSE)</f>
        <v>no technical license protection</v>
      </c>
      <c r="N561" s="10"/>
      <c r="O561" s="10">
        <v>10</v>
      </c>
      <c r="P561" s="10">
        <v>0</v>
      </c>
      <c r="Q561" s="1" t="str">
        <f>VLOOKUP(AB561,[1]Operational_Profit_Type_ID!$A$2:$B$3,2,FALSE)</f>
        <v>Fix rate</v>
      </c>
      <c r="R561" s="10" t="b">
        <v>0</v>
      </c>
      <c r="S561" s="10">
        <v>0</v>
      </c>
      <c r="T561" s="1" t="str">
        <f>VLOOKUP(AD561,[1]UpdateRightID!$A$2:$B$4,2,FALSE)</f>
        <v>UpdateRightByConfiguration</v>
      </c>
      <c r="U561" s="10" t="b">
        <v>1</v>
      </c>
      <c r="V561" s="10"/>
      <c r="W561" s="10">
        <v>2</v>
      </c>
      <c r="X561" s="10">
        <v>1</v>
      </c>
      <c r="Y561" s="10">
        <v>0</v>
      </c>
      <c r="Z561" s="10">
        <v>1</v>
      </c>
      <c r="AA561" s="10">
        <v>4</v>
      </c>
      <c r="AB561" s="10">
        <v>1</v>
      </c>
      <c r="AC561" s="10">
        <v>4</v>
      </c>
      <c r="AD561" s="10">
        <v>1</v>
      </c>
      <c r="AE561" s="10">
        <v>2</v>
      </c>
    </row>
    <row r="562" spans="2:31" ht="409.5">
      <c r="B562" s="10">
        <v>556</v>
      </c>
      <c r="C562" s="10" t="s">
        <v>1477</v>
      </c>
      <c r="D562" s="11" t="s">
        <v>1460</v>
      </c>
      <c r="E562" s="1" t="str">
        <f>VLOOKUP(Z562,[1]LicenseDuration_ID!$A$2:$B$8,2,FALSE)</f>
        <v>n/a</v>
      </c>
      <c r="F562" s="1" t="str">
        <f>VLOOKUP(AA562,[1]MaintenanceDuration_ID!$A$2:$B$5,2,FALSE)</f>
        <v>12 months / yearly automatically renewed</v>
      </c>
      <c r="G562" s="1" t="e">
        <f>VLOOKUP(V562,[1]ExpectedDeliveryTime_ID!$A$2:$B$12,2,FALSE)</f>
        <v>#N/A</v>
      </c>
      <c r="H562" s="1" t="str">
        <f>VLOOKUP(AC562,[1]PaymentModel_ID!$A$2:$B$7,2,FALSE)</f>
        <v>Annual subscription</v>
      </c>
      <c r="I562" s="1" t="str">
        <f>VLOOKUP(W562,[1]ExpectedInvoiceDate_ID!$A$2:$B$12,2,FALSE)</f>
        <v>Anually at the beginning of the extended period</v>
      </c>
      <c r="J562" s="1" t="str">
        <f>VLOOKUP(X562,[1]GrantOfRights_ID!$A$2:$B$7,2,FALSE)</f>
        <v>n/a</v>
      </c>
      <c r="K562" s="1" t="str">
        <f>VLOOKUP(AE562,[1]Profile!$A$2:$B$8,2,FALSE)</f>
        <v>Integration Package</v>
      </c>
      <c r="M562" s="1" t="str">
        <f>VLOOKUP(Y562,[1]License_Method_ID!$A$2:$B$13,2,FALSE)</f>
        <v>no technical license protection</v>
      </c>
      <c r="N562" s="10"/>
      <c r="O562" s="10">
        <v>10</v>
      </c>
      <c r="P562" s="10">
        <v>0</v>
      </c>
      <c r="Q562" s="1" t="str">
        <f>VLOOKUP(AB562,[1]Operational_Profit_Type_ID!$A$2:$B$3,2,FALSE)</f>
        <v>Fix rate</v>
      </c>
      <c r="R562" s="10" t="b">
        <v>0</v>
      </c>
      <c r="S562" s="10">
        <v>0</v>
      </c>
      <c r="T562" s="1" t="str">
        <f>VLOOKUP(AD562,[1]UpdateRightID!$A$2:$B$4,2,FALSE)</f>
        <v>UpdateRightByConfiguration</v>
      </c>
      <c r="U562" s="10" t="b">
        <v>1</v>
      </c>
      <c r="V562" s="10"/>
      <c r="W562" s="10">
        <v>2</v>
      </c>
      <c r="X562" s="10">
        <v>1</v>
      </c>
      <c r="Y562" s="10">
        <v>0</v>
      </c>
      <c r="Z562" s="10">
        <v>1</v>
      </c>
      <c r="AA562" s="10">
        <v>4</v>
      </c>
      <c r="AB562" s="10">
        <v>1</v>
      </c>
      <c r="AC562" s="10">
        <v>4</v>
      </c>
      <c r="AD562" s="10">
        <v>1</v>
      </c>
      <c r="AE562" s="10">
        <v>2</v>
      </c>
    </row>
    <row r="563" spans="2:31" ht="409.5">
      <c r="B563" s="10">
        <v>557</v>
      </c>
      <c r="C563" s="10" t="s">
        <v>1478</v>
      </c>
      <c r="D563" s="11" t="s">
        <v>1460</v>
      </c>
      <c r="E563" s="1" t="str">
        <f>VLOOKUP(Z563,[1]LicenseDuration_ID!$A$2:$B$8,2,FALSE)</f>
        <v>n/a</v>
      </c>
      <c r="F563" s="1" t="str">
        <f>VLOOKUP(AA563,[1]MaintenanceDuration_ID!$A$2:$B$5,2,FALSE)</f>
        <v>12 months / yearly automatically renewed</v>
      </c>
      <c r="G563" s="1" t="e">
        <f>VLOOKUP(V563,[1]ExpectedDeliveryTime_ID!$A$2:$B$12,2,FALSE)</f>
        <v>#N/A</v>
      </c>
      <c r="H563" s="1" t="str">
        <f>VLOOKUP(AC563,[1]PaymentModel_ID!$A$2:$B$7,2,FALSE)</f>
        <v>Annual subscription</v>
      </c>
      <c r="I563" s="1" t="str">
        <f>VLOOKUP(W563,[1]ExpectedInvoiceDate_ID!$A$2:$B$12,2,FALSE)</f>
        <v>Anually at the beginning of the extended period</v>
      </c>
      <c r="J563" s="1" t="str">
        <f>VLOOKUP(X563,[1]GrantOfRights_ID!$A$2:$B$7,2,FALSE)</f>
        <v>n/a</v>
      </c>
      <c r="K563" s="1" t="str">
        <f>VLOOKUP(AE563,[1]Profile!$A$2:$B$8,2,FALSE)</f>
        <v>Integration Package</v>
      </c>
      <c r="M563" s="1" t="str">
        <f>VLOOKUP(Y563,[1]License_Method_ID!$A$2:$B$13,2,FALSE)</f>
        <v>no technical license protection</v>
      </c>
      <c r="N563" s="10"/>
      <c r="O563" s="10">
        <v>10</v>
      </c>
      <c r="P563" s="10">
        <v>0</v>
      </c>
      <c r="Q563" s="1" t="str">
        <f>VLOOKUP(AB563,[1]Operational_Profit_Type_ID!$A$2:$B$3,2,FALSE)</f>
        <v>Fix rate</v>
      </c>
      <c r="R563" s="10" t="b">
        <v>0</v>
      </c>
      <c r="S563" s="10">
        <v>0</v>
      </c>
      <c r="T563" s="1" t="str">
        <f>VLOOKUP(AD563,[1]UpdateRightID!$A$2:$B$4,2,FALSE)</f>
        <v>UpdateRightByConfiguration</v>
      </c>
      <c r="U563" s="10" t="b">
        <v>1</v>
      </c>
      <c r="V563" s="10"/>
      <c r="W563" s="10">
        <v>2</v>
      </c>
      <c r="X563" s="10">
        <v>1</v>
      </c>
      <c r="Y563" s="10">
        <v>0</v>
      </c>
      <c r="Z563" s="10">
        <v>1</v>
      </c>
      <c r="AA563" s="10">
        <v>4</v>
      </c>
      <c r="AB563" s="10">
        <v>1</v>
      </c>
      <c r="AC563" s="10">
        <v>4</v>
      </c>
      <c r="AD563" s="10">
        <v>1</v>
      </c>
      <c r="AE563" s="10">
        <v>2</v>
      </c>
    </row>
  </sheetData>
  <autoFilter ref="A8:BE563" xr:uid="{00000000-0001-0000-0000-000000000000}"/>
  <mergeCells count="3">
    <mergeCell ref="A7:K7"/>
    <mergeCell ref="L7:U7"/>
    <mergeCell ref="V7:AE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1E8F6-DC01-48EF-BBF7-87A5F8293F78}">
  <dimension ref="A1:B188"/>
  <sheetViews>
    <sheetView zoomScale="70" zoomScaleNormal="70" workbookViewId="0">
      <selection activeCell="B7" sqref="B7"/>
    </sheetView>
  </sheetViews>
  <sheetFormatPr defaultColWidth="43.5703125" defaultRowHeight="15"/>
  <cols>
    <col min="1" max="1" width="78.140625" style="8" customWidth="1"/>
    <col min="2" max="2" width="49.7109375" style="8" customWidth="1"/>
  </cols>
  <sheetData>
    <row r="1" spans="1:2">
      <c r="A1" s="7" t="s">
        <v>13</v>
      </c>
      <c r="B1" s="8" t="s">
        <v>43</v>
      </c>
    </row>
    <row r="3" spans="1:2">
      <c r="A3" s="7" t="s">
        <v>15</v>
      </c>
      <c r="B3" s="7" t="s">
        <v>16</v>
      </c>
    </row>
    <row r="4" spans="1:2">
      <c r="A4" s="8" t="s">
        <v>1373</v>
      </c>
    </row>
    <row r="5" spans="1:2" ht="91.5">
      <c r="A5" s="8" t="s">
        <v>1373</v>
      </c>
      <c r="B5" s="8" t="s">
        <v>1374</v>
      </c>
    </row>
    <row r="6" spans="1:2">
      <c r="A6" s="8" t="s">
        <v>1370</v>
      </c>
    </row>
    <row r="7" spans="1:2" ht="91.5">
      <c r="A7" s="8" t="s">
        <v>1370</v>
      </c>
      <c r="B7" s="8" t="s">
        <v>1371</v>
      </c>
    </row>
    <row r="8" spans="1:2">
      <c r="A8" s="8" t="s">
        <v>959</v>
      </c>
    </row>
    <row r="9" spans="1:2" ht="409.6">
      <c r="A9" s="8" t="s">
        <v>959</v>
      </c>
      <c r="B9" s="8" t="s">
        <v>960</v>
      </c>
    </row>
    <row r="10" spans="1:2">
      <c r="A10" s="8" t="s">
        <v>179</v>
      </c>
    </row>
    <row r="11" spans="1:2" ht="409.6">
      <c r="A11" s="8" t="s">
        <v>179</v>
      </c>
      <c r="B11" s="8" t="s">
        <v>180</v>
      </c>
    </row>
    <row r="12" spans="1:2">
      <c r="A12" s="8" t="s">
        <v>290</v>
      </c>
    </row>
    <row r="13" spans="1:2" ht="409.6">
      <c r="A13" s="8" t="s">
        <v>290</v>
      </c>
      <c r="B13" s="8" t="s">
        <v>291</v>
      </c>
    </row>
    <row r="14" spans="1:2">
      <c r="A14" s="8" t="s">
        <v>77</v>
      </c>
    </row>
    <row r="15" spans="1:2" ht="366">
      <c r="A15" s="8" t="s">
        <v>77</v>
      </c>
      <c r="B15" s="8" t="s">
        <v>1479</v>
      </c>
    </row>
    <row r="16" spans="1:2">
      <c r="A16" s="8" t="s">
        <v>1480</v>
      </c>
    </row>
    <row r="17" spans="1:2" ht="351">
      <c r="A17" s="8" t="s">
        <v>1480</v>
      </c>
      <c r="B17" s="8" t="s">
        <v>1435</v>
      </c>
    </row>
    <row r="18" spans="1:2">
      <c r="A18" s="8" t="s">
        <v>1481</v>
      </c>
    </row>
    <row r="19" spans="1:2" ht="366">
      <c r="A19" s="8" t="s">
        <v>1481</v>
      </c>
      <c r="B19" s="8" t="s">
        <v>1438</v>
      </c>
    </row>
    <row r="20" spans="1:2">
      <c r="A20" s="8" t="s">
        <v>1411</v>
      </c>
    </row>
    <row r="21" spans="1:2" ht="409.6">
      <c r="A21" s="8" t="s">
        <v>1411</v>
      </c>
      <c r="B21" s="8" t="s">
        <v>1482</v>
      </c>
    </row>
    <row r="22" spans="1:2">
      <c r="A22" s="8" t="s">
        <v>1445</v>
      </c>
    </row>
    <row r="23" spans="1:2" ht="152.25">
      <c r="A23" s="8" t="s">
        <v>1445</v>
      </c>
      <c r="B23" s="8" t="s">
        <v>1446</v>
      </c>
    </row>
    <row r="24" spans="1:2">
      <c r="A24" s="8" t="s">
        <v>1429</v>
      </c>
    </row>
    <row r="25" spans="1:2" ht="213">
      <c r="A25" s="8" t="s">
        <v>1429</v>
      </c>
      <c r="B25" s="8" t="s">
        <v>1430</v>
      </c>
    </row>
    <row r="26" spans="1:2">
      <c r="A26" s="8" t="s">
        <v>1390</v>
      </c>
    </row>
    <row r="27" spans="1:2" ht="351">
      <c r="A27" s="8" t="s">
        <v>1390</v>
      </c>
      <c r="B27" s="8" t="s">
        <v>1391</v>
      </c>
    </row>
    <row r="28" spans="1:2">
      <c r="A28" s="8" t="s">
        <v>1060</v>
      </c>
    </row>
    <row r="29" spans="1:2" ht="396.75">
      <c r="A29" s="8" t="s">
        <v>1060</v>
      </c>
      <c r="B29" s="8" t="s">
        <v>1061</v>
      </c>
    </row>
    <row r="30" spans="1:2">
      <c r="A30" s="8" t="s">
        <v>1367</v>
      </c>
    </row>
    <row r="31" spans="1:2" ht="409.6">
      <c r="A31" s="8" t="s">
        <v>1367</v>
      </c>
      <c r="B31" s="8" t="s">
        <v>1368</v>
      </c>
    </row>
    <row r="32" spans="1:2">
      <c r="A32" s="8" t="s">
        <v>683</v>
      </c>
    </row>
    <row r="33" spans="1:2" ht="409.6">
      <c r="A33" s="8" t="s">
        <v>683</v>
      </c>
      <c r="B33" s="8" t="s">
        <v>684</v>
      </c>
    </row>
    <row r="34" spans="1:2">
      <c r="A34" s="8" t="s">
        <v>794</v>
      </c>
    </row>
    <row r="35" spans="1:2" ht="409.6">
      <c r="A35" s="8" t="s">
        <v>794</v>
      </c>
      <c r="B35" s="8" t="s">
        <v>795</v>
      </c>
    </row>
    <row r="36" spans="1:2">
      <c r="A36" s="8" t="s">
        <v>703</v>
      </c>
    </row>
    <row r="37" spans="1:2" ht="409.6">
      <c r="A37" s="8" t="s">
        <v>703</v>
      </c>
      <c r="B37" s="8" t="s">
        <v>704</v>
      </c>
    </row>
    <row r="38" spans="1:2">
      <c r="A38" s="8" t="s">
        <v>849</v>
      </c>
    </row>
    <row r="39" spans="1:2" ht="409.6">
      <c r="A39" s="8" t="s">
        <v>849</v>
      </c>
      <c r="B39" s="8" t="s">
        <v>850</v>
      </c>
    </row>
    <row r="40" spans="1:2">
      <c r="A40" s="8" t="s">
        <v>680</v>
      </c>
    </row>
    <row r="41" spans="1:2" ht="396.75">
      <c r="A41" s="8" t="s">
        <v>680</v>
      </c>
      <c r="B41" s="8" t="s">
        <v>681</v>
      </c>
    </row>
    <row r="42" spans="1:2">
      <c r="A42" s="8" t="s">
        <v>105</v>
      </c>
    </row>
    <row r="43" spans="1:2" ht="381.75">
      <c r="A43" s="8" t="s">
        <v>105</v>
      </c>
      <c r="B43" s="8" t="s">
        <v>106</v>
      </c>
    </row>
    <row r="44" spans="1:2">
      <c r="A44" s="8" t="s">
        <v>45</v>
      </c>
    </row>
    <row r="45" spans="1:2" ht="137.25">
      <c r="A45" s="8" t="s">
        <v>45</v>
      </c>
      <c r="B45" s="8" t="s">
        <v>46</v>
      </c>
    </row>
    <row r="46" spans="1:2">
      <c r="A46" s="8" t="s">
        <v>1379</v>
      </c>
    </row>
    <row r="47" spans="1:2" ht="60.75">
      <c r="A47" s="8" t="s">
        <v>1379</v>
      </c>
      <c r="B47" s="8" t="s">
        <v>1380</v>
      </c>
    </row>
    <row r="48" spans="1:2">
      <c r="A48" s="8" t="s">
        <v>53</v>
      </c>
    </row>
    <row r="49" spans="1:2" ht="183">
      <c r="A49" s="8" t="s">
        <v>53</v>
      </c>
      <c r="B49" s="8" t="s">
        <v>54</v>
      </c>
    </row>
    <row r="50" spans="1:2">
      <c r="A50" s="8" t="s">
        <v>412</v>
      </c>
    </row>
    <row r="51" spans="1:2" ht="91.5">
      <c r="A51" s="8" t="s">
        <v>412</v>
      </c>
      <c r="B51" s="8" t="s">
        <v>413</v>
      </c>
    </row>
    <row r="52" spans="1:2">
      <c r="A52" s="8" t="s">
        <v>791</v>
      </c>
    </row>
    <row r="53" spans="1:2" ht="321">
      <c r="A53" s="8" t="s">
        <v>791</v>
      </c>
      <c r="B53" s="8" t="s">
        <v>1483</v>
      </c>
    </row>
    <row r="54" spans="1:2">
      <c r="A54" s="8" t="s">
        <v>928</v>
      </c>
    </row>
    <row r="55" spans="1:2" ht="167.25">
      <c r="A55" s="8" t="s">
        <v>928</v>
      </c>
      <c r="B55" s="8" t="s">
        <v>929</v>
      </c>
    </row>
    <row r="56" spans="1:2">
      <c r="A56" s="8" t="s">
        <v>50</v>
      </c>
    </row>
    <row r="57" spans="1:2" ht="152.25">
      <c r="A57" s="8" t="s">
        <v>50</v>
      </c>
      <c r="B57" s="8" t="s">
        <v>51</v>
      </c>
    </row>
    <row r="58" spans="1:2">
      <c r="A58" s="8" t="s">
        <v>1382</v>
      </c>
    </row>
    <row r="59" spans="1:2" ht="76.5">
      <c r="A59" s="8" t="s">
        <v>1382</v>
      </c>
      <c r="B59" s="8" t="s">
        <v>1383</v>
      </c>
    </row>
    <row r="60" spans="1:2">
      <c r="A60" s="8" t="s">
        <v>642</v>
      </c>
    </row>
    <row r="61" spans="1:2" ht="152.25">
      <c r="A61" s="8" t="s">
        <v>642</v>
      </c>
      <c r="B61" s="8" t="s">
        <v>51</v>
      </c>
    </row>
    <row r="62" spans="1:2">
      <c r="A62" s="8" t="s">
        <v>1228</v>
      </c>
    </row>
    <row r="63" spans="1:2" ht="366">
      <c r="A63" s="8" t="s">
        <v>1228</v>
      </c>
      <c r="B63" s="8" t="s">
        <v>1229</v>
      </c>
    </row>
    <row r="64" spans="1:2">
      <c r="A64" s="8" t="s">
        <v>1240</v>
      </c>
    </row>
    <row r="65" spans="1:2" ht="229.5">
      <c r="A65" s="8" t="s">
        <v>1240</v>
      </c>
      <c r="B65" s="8" t="s">
        <v>1241</v>
      </c>
    </row>
    <row r="66" spans="1:2">
      <c r="A66" s="8" t="s">
        <v>57</v>
      </c>
    </row>
    <row r="67" spans="1:2" ht="198">
      <c r="A67" s="8" t="s">
        <v>57</v>
      </c>
      <c r="B67" s="8" t="s">
        <v>58</v>
      </c>
    </row>
    <row r="68" spans="1:2">
      <c r="A68" s="8" t="s">
        <v>1225</v>
      </c>
    </row>
    <row r="69" spans="1:2" ht="321">
      <c r="A69" s="8" t="s">
        <v>1225</v>
      </c>
      <c r="B69" s="8" t="s">
        <v>1226</v>
      </c>
    </row>
    <row r="70" spans="1:2">
      <c r="A70" s="8" t="s">
        <v>1237</v>
      </c>
    </row>
    <row r="71" spans="1:2" ht="183">
      <c r="A71" s="8" t="s">
        <v>1237</v>
      </c>
      <c r="B71" s="8" t="s">
        <v>1238</v>
      </c>
    </row>
    <row r="72" spans="1:2">
      <c r="A72" s="8" t="s">
        <v>1484</v>
      </c>
    </row>
    <row r="73" spans="1:2" ht="290.25">
      <c r="A73" s="8" t="s">
        <v>1484</v>
      </c>
      <c r="B73" s="8" t="s">
        <v>1318</v>
      </c>
    </row>
    <row r="74" spans="1:2">
      <c r="A74" s="8" t="s">
        <v>69</v>
      </c>
    </row>
    <row r="75" spans="1:2" ht="121.5">
      <c r="A75" s="8" t="s">
        <v>69</v>
      </c>
      <c r="B75" s="8" t="s">
        <v>70</v>
      </c>
    </row>
    <row r="76" spans="1:2">
      <c r="A76" s="8" t="s">
        <v>415</v>
      </c>
    </row>
    <row r="77" spans="1:2" ht="290.25">
      <c r="A77" s="8" t="s">
        <v>415</v>
      </c>
      <c r="B77" s="8" t="s">
        <v>416</v>
      </c>
    </row>
    <row r="78" spans="1:2">
      <c r="A78" s="8" t="s">
        <v>1417</v>
      </c>
    </row>
    <row r="79" spans="1:2" ht="121.5">
      <c r="A79" s="8" t="s">
        <v>1417</v>
      </c>
      <c r="B79" s="8" t="s">
        <v>1418</v>
      </c>
    </row>
    <row r="80" spans="1:2">
      <c r="A80" s="8" t="s">
        <v>176</v>
      </c>
    </row>
    <row r="81" spans="1:2" ht="121.5">
      <c r="A81" s="8" t="s">
        <v>176</v>
      </c>
      <c r="B81" s="8" t="s">
        <v>177</v>
      </c>
    </row>
    <row r="82" spans="1:2">
      <c r="A82" s="8" t="s">
        <v>609</v>
      </c>
    </row>
    <row r="83" spans="1:2" ht="409.6">
      <c r="A83" s="8" t="s">
        <v>609</v>
      </c>
      <c r="B83" s="8" t="s">
        <v>610</v>
      </c>
    </row>
    <row r="84" spans="1:2">
      <c r="A84" s="8" t="s">
        <v>603</v>
      </c>
    </row>
    <row r="85" spans="1:2" ht="321">
      <c r="A85" s="8" t="s">
        <v>603</v>
      </c>
      <c r="B85" s="8" t="s">
        <v>604</v>
      </c>
    </row>
    <row r="86" spans="1:2">
      <c r="A86" s="8" t="s">
        <v>1388</v>
      </c>
    </row>
    <row r="87" spans="1:2" ht="167.25">
      <c r="A87" s="8" t="s">
        <v>1388</v>
      </c>
      <c r="B87" s="8" t="s">
        <v>929</v>
      </c>
    </row>
    <row r="88" spans="1:2">
      <c r="A88" s="8" t="s">
        <v>612</v>
      </c>
    </row>
    <row r="89" spans="1:2" ht="409.6">
      <c r="A89" s="8" t="s">
        <v>612</v>
      </c>
      <c r="B89" s="8" t="s">
        <v>613</v>
      </c>
    </row>
    <row r="90" spans="1:2">
      <c r="A90" s="8" t="s">
        <v>1485</v>
      </c>
    </row>
    <row r="91" spans="1:2" ht="409.6">
      <c r="A91" s="8" t="s">
        <v>1485</v>
      </c>
      <c r="B91" s="8" t="s">
        <v>613</v>
      </c>
    </row>
    <row r="92" spans="1:2">
      <c r="A92" s="8" t="s">
        <v>1385</v>
      </c>
    </row>
    <row r="93" spans="1:2" ht="91.5">
      <c r="A93" s="8" t="s">
        <v>1385</v>
      </c>
      <c r="B93" s="8" t="s">
        <v>1386</v>
      </c>
    </row>
    <row r="94" spans="1:2">
      <c r="A94" s="8" t="s">
        <v>1016</v>
      </c>
    </row>
    <row r="95" spans="1:2">
      <c r="A95" s="8" t="s">
        <v>1016</v>
      </c>
      <c r="B95" s="8" t="s">
        <v>1486</v>
      </c>
    </row>
    <row r="96" spans="1:2">
      <c r="A96" s="8" t="s">
        <v>1426</v>
      </c>
    </row>
    <row r="97" spans="1:2" ht="121.5">
      <c r="A97" s="8" t="s">
        <v>1426</v>
      </c>
      <c r="B97" s="8" t="s">
        <v>1427</v>
      </c>
    </row>
    <row r="98" spans="1:2">
      <c r="A98" s="8" t="s">
        <v>1442</v>
      </c>
    </row>
    <row r="99" spans="1:2" ht="409.6">
      <c r="A99" s="8" t="s">
        <v>1442</v>
      </c>
      <c r="B99" s="8" t="s">
        <v>1487</v>
      </c>
    </row>
    <row r="100" spans="1:2">
      <c r="A100" s="8" t="s">
        <v>1414</v>
      </c>
    </row>
    <row r="101" spans="1:2" ht="409.6">
      <c r="A101" s="8" t="s">
        <v>1414</v>
      </c>
      <c r="B101" s="8" t="s">
        <v>1415</v>
      </c>
    </row>
    <row r="102" spans="1:2">
      <c r="A102" s="8" t="s">
        <v>1405</v>
      </c>
    </row>
    <row r="103" spans="1:2" ht="409.6">
      <c r="A103" s="8" t="s">
        <v>1405</v>
      </c>
      <c r="B103" s="8" t="s">
        <v>1406</v>
      </c>
    </row>
    <row r="104" spans="1:2">
      <c r="A104" s="8" t="s">
        <v>1402</v>
      </c>
    </row>
    <row r="105" spans="1:2" ht="409.6">
      <c r="A105" s="8" t="s">
        <v>1402</v>
      </c>
      <c r="B105" s="8" t="s">
        <v>1403</v>
      </c>
    </row>
    <row r="106" spans="1:2">
      <c r="A106" s="8" t="s">
        <v>1420</v>
      </c>
    </row>
    <row r="107" spans="1:2" ht="198">
      <c r="A107" s="8" t="s">
        <v>1420</v>
      </c>
      <c r="B107" s="8" t="s">
        <v>1421</v>
      </c>
    </row>
    <row r="108" spans="1:2">
      <c r="A108" s="8" t="s">
        <v>1029</v>
      </c>
    </row>
    <row r="109" spans="1:2" ht="167.25">
      <c r="A109" s="8" t="s">
        <v>1029</v>
      </c>
      <c r="B109" s="8" t="s">
        <v>929</v>
      </c>
    </row>
    <row r="110" spans="1:2">
      <c r="A110" s="8" t="s">
        <v>1222</v>
      </c>
    </row>
    <row r="111" spans="1:2" ht="351">
      <c r="A111" s="8" t="s">
        <v>1222</v>
      </c>
      <c r="B111" s="8" t="s">
        <v>1223</v>
      </c>
    </row>
    <row r="112" spans="1:2">
      <c r="A112" s="8" t="s">
        <v>1234</v>
      </c>
    </row>
    <row r="113" spans="1:2" ht="213">
      <c r="A113" s="8" t="s">
        <v>1234</v>
      </c>
      <c r="B113" s="8" t="s">
        <v>1235</v>
      </c>
    </row>
    <row r="114" spans="1:2">
      <c r="A114" s="8" t="s">
        <v>1219</v>
      </c>
    </row>
    <row r="115" spans="1:2" ht="305.25">
      <c r="A115" s="8" t="s">
        <v>1219</v>
      </c>
      <c r="B115" s="8" t="s">
        <v>1220</v>
      </c>
    </row>
    <row r="116" spans="1:2">
      <c r="A116" s="8" t="s">
        <v>1231</v>
      </c>
    </row>
    <row r="117" spans="1:2" ht="167.25">
      <c r="A117" s="8" t="s">
        <v>1231</v>
      </c>
      <c r="B117" s="8" t="s">
        <v>1232</v>
      </c>
    </row>
    <row r="118" spans="1:2">
      <c r="A118" s="8" t="s">
        <v>701</v>
      </c>
    </row>
    <row r="119" spans="1:2" ht="409.6">
      <c r="A119" s="8" t="s">
        <v>701</v>
      </c>
      <c r="B119" s="8" t="s">
        <v>180</v>
      </c>
    </row>
    <row r="120" spans="1:2">
      <c r="A120" s="8" t="s">
        <v>185</v>
      </c>
    </row>
    <row r="121" spans="1:2" ht="321">
      <c r="A121" s="8" t="s">
        <v>185</v>
      </c>
      <c r="B121" s="8" t="s">
        <v>1488</v>
      </c>
    </row>
    <row r="122" spans="1:2">
      <c r="A122" s="8" t="s">
        <v>1432</v>
      </c>
    </row>
    <row r="123" spans="1:2">
      <c r="A123" s="8" t="s">
        <v>1432</v>
      </c>
      <c r="B123" s="8" t="s">
        <v>1486</v>
      </c>
    </row>
    <row r="124" spans="1:2">
      <c r="A124" s="8" t="s">
        <v>309</v>
      </c>
    </row>
    <row r="125" spans="1:2">
      <c r="A125" s="8" t="s">
        <v>309</v>
      </c>
      <c r="B125" s="8" t="s">
        <v>1486</v>
      </c>
    </row>
    <row r="126" spans="1:2">
      <c r="A126" s="8" t="s">
        <v>876</v>
      </c>
    </row>
    <row r="127" spans="1:2" ht="167.25">
      <c r="A127" s="8" t="s">
        <v>876</v>
      </c>
      <c r="B127" s="8" t="s">
        <v>877</v>
      </c>
    </row>
    <row r="128" spans="1:2">
      <c r="A128" s="8" t="s">
        <v>126</v>
      </c>
    </row>
    <row r="129" spans="1:2" ht="183">
      <c r="A129" s="8" t="s">
        <v>126</v>
      </c>
      <c r="B129" s="8" t="s">
        <v>1489</v>
      </c>
    </row>
    <row r="130" spans="1:2">
      <c r="A130" s="8" t="s">
        <v>706</v>
      </c>
    </row>
    <row r="131" spans="1:2" ht="121.5">
      <c r="A131" s="8" t="s">
        <v>706</v>
      </c>
      <c r="B131" s="8" t="s">
        <v>707</v>
      </c>
    </row>
    <row r="132" spans="1:2">
      <c r="A132" s="8" t="s">
        <v>858</v>
      </c>
    </row>
    <row r="133" spans="1:2" ht="137.25">
      <c r="A133" s="8" t="s">
        <v>858</v>
      </c>
      <c r="B133" s="8" t="s">
        <v>859</v>
      </c>
    </row>
    <row r="134" spans="1:2">
      <c r="A134" s="8" t="s">
        <v>335</v>
      </c>
    </row>
    <row r="135" spans="1:2" ht="409.6">
      <c r="A135" s="8" t="s">
        <v>335</v>
      </c>
      <c r="B135" s="8" t="s">
        <v>336</v>
      </c>
    </row>
    <row r="136" spans="1:2">
      <c r="A136" s="8" t="s">
        <v>1393</v>
      </c>
    </row>
    <row r="137" spans="1:2" ht="259.5">
      <c r="A137" s="8" t="s">
        <v>1393</v>
      </c>
      <c r="B137" s="8" t="s">
        <v>1394</v>
      </c>
    </row>
    <row r="138" spans="1:2">
      <c r="A138" s="8" t="s">
        <v>1399</v>
      </c>
    </row>
    <row r="139" spans="1:2" ht="409.6">
      <c r="A139" s="8" t="s">
        <v>1399</v>
      </c>
      <c r="B139" s="8" t="s">
        <v>1400</v>
      </c>
    </row>
    <row r="140" spans="1:2">
      <c r="A140" s="8" t="s">
        <v>102</v>
      </c>
    </row>
    <row r="141" spans="1:2" ht="336">
      <c r="A141" s="8" t="s">
        <v>102</v>
      </c>
      <c r="B141" s="8" t="s">
        <v>1490</v>
      </c>
    </row>
    <row r="142" spans="1:2">
      <c r="A142" s="8" t="s">
        <v>1020</v>
      </c>
    </row>
    <row r="143" spans="1:2">
      <c r="A143" s="8" t="s">
        <v>1020</v>
      </c>
      <c r="B143" s="8" t="s">
        <v>1486</v>
      </c>
    </row>
    <row r="144" spans="1:2">
      <c r="A144" s="8" t="s">
        <v>1022</v>
      </c>
    </row>
    <row r="145" spans="1:2">
      <c r="A145" s="8" t="s">
        <v>1022</v>
      </c>
      <c r="B145" s="8" t="s">
        <v>1486</v>
      </c>
    </row>
    <row r="146" spans="1:2">
      <c r="A146" s="8" t="s">
        <v>870</v>
      </c>
    </row>
    <row r="147" spans="1:2" ht="321">
      <c r="A147" s="8" t="s">
        <v>870</v>
      </c>
      <c r="B147" s="8" t="s">
        <v>871</v>
      </c>
    </row>
    <row r="148" spans="1:2">
      <c r="A148" s="8" t="s">
        <v>873</v>
      </c>
    </row>
    <row r="149" spans="1:2" ht="229.5">
      <c r="A149" s="8" t="s">
        <v>873</v>
      </c>
      <c r="B149" s="8" t="s">
        <v>874</v>
      </c>
    </row>
    <row r="150" spans="1:2">
      <c r="A150" s="8" t="s">
        <v>763</v>
      </c>
    </row>
    <row r="151" spans="1:2" ht="137.25">
      <c r="A151" s="8" t="s">
        <v>763</v>
      </c>
      <c r="B151" s="8" t="s">
        <v>764</v>
      </c>
    </row>
    <row r="152" spans="1:2">
      <c r="A152" s="8" t="s">
        <v>1314</v>
      </c>
    </row>
    <row r="153" spans="1:2" ht="275.25">
      <c r="A153" s="8" t="s">
        <v>1314</v>
      </c>
      <c r="B153" s="8" t="s">
        <v>1315</v>
      </c>
    </row>
    <row r="154" spans="1:2">
      <c r="A154" s="8" t="s">
        <v>1376</v>
      </c>
    </row>
    <row r="155" spans="1:2" ht="60.75">
      <c r="A155" s="8" t="s">
        <v>1376</v>
      </c>
      <c r="B155" s="8" t="s">
        <v>1377</v>
      </c>
    </row>
    <row r="156" spans="1:2">
      <c r="A156" s="8" t="s">
        <v>777</v>
      </c>
    </row>
    <row r="157" spans="1:2" ht="137.25">
      <c r="A157" s="8" t="s">
        <v>777</v>
      </c>
      <c r="B157" s="8" t="s">
        <v>764</v>
      </c>
    </row>
    <row r="158" spans="1:2">
      <c r="A158" s="8" t="s">
        <v>766</v>
      </c>
    </row>
    <row r="159" spans="1:2" ht="167.25">
      <c r="A159" s="8" t="s">
        <v>766</v>
      </c>
      <c r="B159" s="8" t="s">
        <v>767</v>
      </c>
    </row>
    <row r="160" spans="1:2">
      <c r="A160" s="8" t="s">
        <v>1364</v>
      </c>
    </row>
    <row r="161" spans="1:2">
      <c r="A161" s="8" t="s">
        <v>1364</v>
      </c>
      <c r="B161" s="8" t="s">
        <v>1486</v>
      </c>
    </row>
    <row r="162" spans="1:2">
      <c r="A162" s="8" t="s">
        <v>1448</v>
      </c>
    </row>
    <row r="163" spans="1:2">
      <c r="A163" s="8" t="s">
        <v>1448</v>
      </c>
      <c r="B163" s="8" t="s">
        <v>1486</v>
      </c>
    </row>
    <row r="164" spans="1:2">
      <c r="A164" s="8" t="s">
        <v>1288</v>
      </c>
    </row>
    <row r="165" spans="1:2" ht="121.5">
      <c r="A165" s="8" t="s">
        <v>1288</v>
      </c>
      <c r="B165" s="8" t="s">
        <v>278</v>
      </c>
    </row>
    <row r="166" spans="1:2">
      <c r="A166" s="8" t="s">
        <v>1088</v>
      </c>
    </row>
    <row r="167" spans="1:2" ht="121.5">
      <c r="A167" s="8" t="s">
        <v>1088</v>
      </c>
      <c r="B167" s="8" t="s">
        <v>278</v>
      </c>
    </row>
    <row r="168" spans="1:2">
      <c r="A168" s="8" t="s">
        <v>1423</v>
      </c>
    </row>
    <row r="169" spans="1:2" ht="121.5">
      <c r="A169" s="8" t="s">
        <v>1423</v>
      </c>
      <c r="B169" s="8" t="s">
        <v>1424</v>
      </c>
    </row>
    <row r="170" spans="1:2">
      <c r="A170" s="8" t="s">
        <v>1450</v>
      </c>
    </row>
    <row r="171" spans="1:2">
      <c r="A171" s="8" t="s">
        <v>1450</v>
      </c>
      <c r="B171" s="8" t="s">
        <v>1486</v>
      </c>
    </row>
    <row r="172" spans="1:2">
      <c r="A172" s="8" t="s">
        <v>1452</v>
      </c>
    </row>
    <row r="173" spans="1:2">
      <c r="A173" s="8" t="s">
        <v>1452</v>
      </c>
      <c r="B173" s="8" t="s">
        <v>1486</v>
      </c>
    </row>
    <row r="174" spans="1:2">
      <c r="A174" s="8" t="s">
        <v>1454</v>
      </c>
    </row>
    <row r="175" spans="1:2">
      <c r="A175" s="8" t="s">
        <v>1454</v>
      </c>
      <c r="B175" s="8" t="s">
        <v>1486</v>
      </c>
    </row>
    <row r="176" spans="1:2">
      <c r="A176" s="8" t="s">
        <v>1456</v>
      </c>
    </row>
    <row r="177" spans="1:2">
      <c r="A177" s="8" t="s">
        <v>1456</v>
      </c>
      <c r="B177" s="8" t="s">
        <v>1486</v>
      </c>
    </row>
    <row r="178" spans="1:2">
      <c r="A178" s="8" t="s">
        <v>1458</v>
      </c>
    </row>
    <row r="179" spans="1:2">
      <c r="A179" s="8" t="s">
        <v>1458</v>
      </c>
      <c r="B179" s="8" t="s">
        <v>1486</v>
      </c>
    </row>
    <row r="180" spans="1:2">
      <c r="A180" s="8" t="s">
        <v>752</v>
      </c>
    </row>
    <row r="181" spans="1:2" ht="167.25">
      <c r="A181" s="8" t="s">
        <v>752</v>
      </c>
      <c r="B181" s="8" t="s">
        <v>753</v>
      </c>
    </row>
    <row r="182" spans="1:2">
      <c r="A182" s="8" t="s">
        <v>1361</v>
      </c>
    </row>
    <row r="183" spans="1:2" ht="167.25">
      <c r="A183" s="8" t="s">
        <v>1361</v>
      </c>
      <c r="B183" s="8" t="s">
        <v>1362</v>
      </c>
    </row>
    <row r="184" spans="1:2">
      <c r="A184" s="8" t="s">
        <v>1440</v>
      </c>
    </row>
    <row r="185" spans="1:2">
      <c r="A185" s="8" t="s">
        <v>1440</v>
      </c>
      <c r="B185" s="8" t="s">
        <v>1486</v>
      </c>
    </row>
    <row r="186" spans="1:2">
      <c r="A186" s="8" t="s">
        <v>1257</v>
      </c>
    </row>
    <row r="187" spans="1:2" ht="290.25">
      <c r="A187" s="8" t="s">
        <v>1257</v>
      </c>
      <c r="B187" s="8" t="s">
        <v>1258</v>
      </c>
    </row>
    <row r="188" spans="1:2">
      <c r="A188" s="8" t="s">
        <v>1491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1BE919DBF3904AA8815CF2DA7A3FE9" ma:contentTypeVersion="22" ma:contentTypeDescription="Create a new document." ma:contentTypeScope="" ma:versionID="fe138102687ff03b9fb1c17b8571b6b4">
  <xsd:schema xmlns:xsd="http://www.w3.org/2001/XMLSchema" xmlns:xs="http://www.w3.org/2001/XMLSchema" xmlns:p="http://schemas.microsoft.com/office/2006/metadata/properties" xmlns:ns2="9376f78e-989b-4e90-87c6-2abb228e0ae0" xmlns:ns3="bd0f3f33-a0f2-451d-b045-3a78ce3556d1" targetNamespace="http://schemas.microsoft.com/office/2006/metadata/properties" ma:root="true" ma:fieldsID="f8c7ad6c39cbee787cbc1771e6f4d345" ns2:_="" ns3:_="">
    <xsd:import namespace="9376f78e-989b-4e90-87c6-2abb228e0ae0"/>
    <xsd:import namespace="bd0f3f33-a0f2-451d-b045-3a78ce3556d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MediaServiceLocation" minOccurs="0"/>
                <xsd:element ref="ns2:MediaServiceObjectDetectorVersions" minOccurs="0"/>
                <xsd:element ref="ns2:Rea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76f78e-989b-4e90-87c6-2abb228e0a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57f265f-a32d-4e3b-a922-aa6dad908eb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Read" ma:index="22" nillable="true" ma:displayName="Read" ma:format="Dropdown" ma:internalName="Read">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0f3f33-a0f2-451d-b045-3a78ce3556d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5a004fd-957d-43db-b769-f6d6af3be338}" ma:internalName="TaxCatchAll" ma:showField="CatchAllData" ma:web="bd0f3f33-a0f2-451d-b045-3a78ce3556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d0f3f33-a0f2-451d-b045-3a78ce3556d1" xsi:nil="true"/>
    <lcf76f155ced4ddcb4097134ff3c332f xmlns="9376f78e-989b-4e90-87c6-2abb228e0ae0">
      <Terms xmlns="http://schemas.microsoft.com/office/infopath/2007/PartnerControls"/>
    </lcf76f155ced4ddcb4097134ff3c332f>
    <Read xmlns="9376f78e-989b-4e90-87c6-2abb228e0ae0" xsi:nil="true"/>
    <SharedWithUsers xmlns="bd0f3f33-a0f2-451d-b045-3a78ce3556d1">
      <UserInfo>
        <DisplayName>Oishi, Atsuko</DisplayName>
        <AccountId>1196</AccountId>
        <AccountType/>
      </UserInfo>
      <UserInfo>
        <DisplayName>Olig, Jochen</DisplayName>
        <AccountId>28</AccountId>
        <AccountType/>
      </UserInfo>
      <UserInfo>
        <DisplayName>Iseler, Roman</DisplayName>
        <AccountId>46</AccountId>
        <AccountType/>
      </UserInfo>
      <UserInfo>
        <DisplayName>Eismann, Christian</DisplayName>
        <AccountId>85</AccountId>
        <AccountType/>
      </UserInfo>
    </SharedWithUsers>
  </documentManagement>
</p:properties>
</file>

<file path=customXml/itemProps1.xml><?xml version="1.0" encoding="utf-8"?>
<ds:datastoreItem xmlns:ds="http://schemas.openxmlformats.org/officeDocument/2006/customXml" ds:itemID="{81C898FA-D387-447C-8BD8-18FDB8823698}"/>
</file>

<file path=customXml/itemProps2.xml><?xml version="1.0" encoding="utf-8"?>
<ds:datastoreItem xmlns:ds="http://schemas.openxmlformats.org/officeDocument/2006/customXml" ds:itemID="{0CB55227-2AE2-4F37-B8C6-403F8089CA07}"/>
</file>

<file path=customXml/itemProps3.xml><?xml version="1.0" encoding="utf-8"?>
<ds:datastoreItem xmlns:ds="http://schemas.openxmlformats.org/officeDocument/2006/customXml" ds:itemID="{B24E09BE-B529-479B-8CD9-9D517FAA6F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Herren, Volker</dc:creator>
  <cp:keywords/>
  <dc:description/>
  <cp:lastModifiedBy/>
  <cp:revision/>
  <dcterms:created xsi:type="dcterms:W3CDTF">2023-08-09T08:59:46Z</dcterms:created>
  <dcterms:modified xsi:type="dcterms:W3CDTF">2026-03-20T12:21:14Z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2.6.0</vt:lpwstr>
  </property>
  <property fmtid="{D5CDD505-2E9C-101B-9397-08002B2CF9AE}" pid="4" name="ContentTypeId">
    <vt:lpwstr>0x010100AB1BE919DBF3904AA8815CF2DA7A3FE9</vt:lpwstr>
  </property>
  <property fmtid="{D5CDD505-2E9C-101B-9397-08002B2CF9AE}" pid="5" name="MediaServiceImageTags">
    <vt:lpwstr/>
  </property>
</Properties>
</file>